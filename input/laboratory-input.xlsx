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irishi Togo\Documents\GitHub\HPtemplate-manual\input\"/>
    </mc:Choice>
  </mc:AlternateContent>
  <xr:revisionPtr revIDLastSave="0" documentId="13_ncr:1_{EF485065-CC2B-4AB9-855A-E3679FEE9736}" xr6:coauthVersionLast="47" xr6:coauthVersionMax="47" xr10:uidLastSave="{00000000-0000-0000-0000-000000000000}"/>
  <bookViews>
    <workbookView xWindow="-110" yWindow="-110" windowWidth="19420" windowHeight="10420" xr2:uid="{00000000-000D-0000-FFFF-FFFF00000000}"/>
  </bookViews>
  <sheets>
    <sheet name="00_チェック" sheetId="1" r:id="rId1"/>
    <sheet name="01_基本情報" sheetId="2" r:id="rId2"/>
    <sheet name="02_NEWS" sheetId="3" r:id="rId3"/>
    <sheet name="03_研究テーマ" sheetId="4" r:id="rId4"/>
    <sheet name="04_研究室のモットー" sheetId="5" r:id="rId5"/>
    <sheet name="05_研究室メンバー" sheetId="6" r:id="rId6"/>
    <sheet name="06_プロフィール" sheetId="7" r:id="rId7"/>
    <sheet name="07_論文・研究発表" sheetId="8" r:id="rId8"/>
    <sheet name="08_Contact" sheetId="9" r:id="rId9"/>
    <sheet name="09_フッター"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0" l="1"/>
  <c r="C4" i="10" s="1"/>
  <c r="C15" i="1" s="1"/>
  <c r="C18" i="9"/>
  <c r="C17" i="9"/>
  <c r="C13" i="9"/>
  <c r="C12" i="9"/>
  <c r="C11" i="9"/>
  <c r="C10" i="9"/>
  <c r="C5" i="9"/>
  <c r="C14" i="1" s="1"/>
  <c r="E67" i="8"/>
  <c r="A67" i="8"/>
  <c r="E66" i="8"/>
  <c r="A66" i="8"/>
  <c r="E65" i="8"/>
  <c r="A65" i="8"/>
  <c r="E64" i="8"/>
  <c r="A64" i="8"/>
  <c r="E63" i="8"/>
  <c r="A63" i="8"/>
  <c r="E62" i="8"/>
  <c r="A62" i="8"/>
  <c r="E61" i="8"/>
  <c r="A61" i="8"/>
  <c r="E60" i="8"/>
  <c r="A60" i="8"/>
  <c r="E59" i="8"/>
  <c r="A59" i="8"/>
  <c r="E58" i="8"/>
  <c r="A58" i="8"/>
  <c r="E57" i="8"/>
  <c r="A57" i="8"/>
  <c r="E56" i="8"/>
  <c r="A56" i="8"/>
  <c r="E55" i="8"/>
  <c r="A55" i="8"/>
  <c r="E54" i="8"/>
  <c r="A54" i="8"/>
  <c r="E53" i="8"/>
  <c r="A53" i="8"/>
  <c r="E52" i="8"/>
  <c r="A52" i="8"/>
  <c r="E51" i="8"/>
  <c r="A51" i="8"/>
  <c r="E50" i="8"/>
  <c r="A50" i="8"/>
  <c r="E49" i="8"/>
  <c r="A49" i="8"/>
  <c r="E48" i="8"/>
  <c r="A48" i="8"/>
  <c r="E47" i="8"/>
  <c r="A47" i="8"/>
  <c r="E46" i="8"/>
  <c r="A46" i="8"/>
  <c r="E45" i="8"/>
  <c r="A45" i="8"/>
  <c r="E44" i="8"/>
  <c r="A44" i="8"/>
  <c r="E43" i="8"/>
  <c r="A43" i="8"/>
  <c r="E42" i="8"/>
  <c r="A42" i="8"/>
  <c r="E41" i="8"/>
  <c r="A41" i="8"/>
  <c r="E40" i="8"/>
  <c r="A40" i="8"/>
  <c r="E39" i="8"/>
  <c r="A39" i="8"/>
  <c r="E38" i="8"/>
  <c r="A38" i="8"/>
  <c r="E37" i="8"/>
  <c r="A37" i="8"/>
  <c r="E36" i="8"/>
  <c r="A36" i="8"/>
  <c r="E35" i="8"/>
  <c r="A35" i="8"/>
  <c r="E34" i="8"/>
  <c r="A34" i="8"/>
  <c r="E33" i="8"/>
  <c r="A33" i="8"/>
  <c r="E32" i="8"/>
  <c r="A32" i="8"/>
  <c r="E31" i="8"/>
  <c r="A31" i="8"/>
  <c r="E30" i="8"/>
  <c r="A30" i="8"/>
  <c r="E29" i="8"/>
  <c r="A29" i="8"/>
  <c r="E28" i="8"/>
  <c r="A28" i="8"/>
  <c r="E27" i="8"/>
  <c r="A27" i="8"/>
  <c r="E26" i="8"/>
  <c r="A26" i="8"/>
  <c r="E25" i="8"/>
  <c r="A25" i="8"/>
  <c r="E24" i="8"/>
  <c r="A24" i="8"/>
  <c r="E23" i="8"/>
  <c r="A23" i="8"/>
  <c r="E22" i="8"/>
  <c r="A22" i="8"/>
  <c r="E21" i="8"/>
  <c r="A21" i="8"/>
  <c r="E20" i="8"/>
  <c r="A20" i="8"/>
  <c r="E19" i="8"/>
  <c r="A19" i="8"/>
  <c r="E18" i="8"/>
  <c r="A18" i="8"/>
  <c r="C5" i="8"/>
  <c r="C13" i="1" s="1"/>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C20" i="7"/>
  <c r="C19" i="7"/>
  <c r="C18" i="7"/>
  <c r="C17" i="7"/>
  <c r="C16" i="7"/>
  <c r="C12" i="7"/>
  <c r="C5" i="7" s="1"/>
  <c r="C12" i="1" s="1"/>
  <c r="C11" i="7"/>
  <c r="C10" i="7"/>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C5" i="6" s="1"/>
  <c r="C11" i="1" s="1"/>
  <c r="E10" i="6"/>
  <c r="D15" i="5"/>
  <c r="D14" i="5"/>
  <c r="D13" i="5"/>
  <c r="D12" i="5"/>
  <c r="D11" i="5"/>
  <c r="D10" i="5"/>
  <c r="C5" i="5"/>
  <c r="C10" i="1" s="1"/>
  <c r="E17" i="4"/>
  <c r="E16" i="4"/>
  <c r="E15" i="4"/>
  <c r="E14" i="4"/>
  <c r="E13" i="4"/>
  <c r="E12" i="4"/>
  <c r="E11" i="4"/>
  <c r="E10" i="4"/>
  <c r="C5" i="4" s="1"/>
  <c r="C9" i="1" s="1"/>
  <c r="E21" i="3"/>
  <c r="E20" i="3"/>
  <c r="E19" i="3"/>
  <c r="E18" i="3"/>
  <c r="E17" i="3"/>
  <c r="E16" i="3"/>
  <c r="E15" i="3"/>
  <c r="E14" i="3"/>
  <c r="E13" i="3"/>
  <c r="E12" i="3"/>
  <c r="E11" i="3"/>
  <c r="C5" i="3" s="1"/>
  <c r="C8" i="1" s="1"/>
  <c r="E10" i="3"/>
  <c r="C10" i="2"/>
  <c r="C9" i="2"/>
  <c r="C4" i="2" s="1"/>
  <c r="C7" i="1" s="1"/>
  <c r="C8" i="2"/>
  <c r="C7" i="2"/>
  <c r="B4" i="1" l="1"/>
</calcChain>
</file>

<file path=xl/sharedStrings.xml><?xml version="1.0" encoding="utf-8"?>
<sst xmlns="http://schemas.openxmlformats.org/spreadsheetml/2006/main" count="364" uniqueCount="199">
  <si>
    <t>研究室HP 入力データ｜入力チェック</t>
  </si>
  <si>
    <t>全体判定</t>
  </si>
  <si>
    <t>No.</t>
  </si>
  <si>
    <t>シート</t>
  </si>
  <si>
    <t>状態</t>
  </si>
  <si>
    <t>内容</t>
  </si>
  <si>
    <t>確認ポイント</t>
  </si>
  <si>
    <t>01</t>
  </si>
  <si>
    <t>01_基本情報</t>
  </si>
  <si>
    <t>サイト全体</t>
  </si>
  <si>
    <t>タイトル・検索結果の説明・研究室名</t>
  </si>
  <si>
    <t>02</t>
  </si>
  <si>
    <t>02_NEWS</t>
  </si>
  <si>
    <t>NEWS</t>
  </si>
  <si>
    <t>不要なら「表示しない」</t>
  </si>
  <si>
    <t>03</t>
  </si>
  <si>
    <t>03_研究テーマ</t>
  </si>
  <si>
    <t>研究テーマ</t>
  </si>
  <si>
    <t>画像の上下で本文を分ける場合は①②を使い分ける</t>
  </si>
  <si>
    <t>04</t>
  </si>
  <si>
    <t>04_研究室のモットー</t>
  </si>
  <si>
    <t>研究室のモットー</t>
  </si>
  <si>
    <t>名称変更・削除も可能</t>
  </si>
  <si>
    <t>05</t>
  </si>
  <si>
    <t>05_研究室メンバー</t>
  </si>
  <si>
    <t>研究室メンバー</t>
  </si>
  <si>
    <t>予備行を使って追加可能</t>
  </si>
  <si>
    <t>06</t>
  </si>
  <si>
    <t>06_プロフィール</t>
  </si>
  <si>
    <t>プロフィール</t>
  </si>
  <si>
    <t>氏名・経歴・外部リンク</t>
  </si>
  <si>
    <t>07</t>
  </si>
  <si>
    <t>07_論文・研究発表</t>
  </si>
  <si>
    <t>論文・研究発表</t>
  </si>
  <si>
    <t>分類の削除・名称変更も可能</t>
  </si>
  <si>
    <t>08</t>
  </si>
  <si>
    <t>08_Contact</t>
  </si>
  <si>
    <t>Contact</t>
  </si>
  <si>
    <t>Google Map設定を含む</t>
  </si>
  <si>
    <t>09</t>
  </si>
  <si>
    <t>09_フッター</t>
  </si>
  <si>
    <t>フッター</t>
  </si>
  <si>
    <t>コピーライト</t>
  </si>
  <si>
    <t>セクションを「表示しない」にした場合は、本文だけでなく左メニュー・現在位置表示・そのセクションに連動する機能も含めて削除・調整する前提です。HTMLの一部分だけを消すのではなく、CodexにこのExcel全体を渡して反映させてください。</t>
  </si>
  <si>
    <t>研究室HP 入力データ｜基本情報</t>
  </si>
  <si>
    <t>黄色いセルをサンプルから自分の研究室の内容へ書き換えてください。</t>
  </si>
  <si>
    <t>セクション判定</t>
  </si>
  <si>
    <t>項目</t>
  </si>
  <si>
    <t>入力内容</t>
  </si>
  <si>
    <t>判定</t>
  </si>
  <si>
    <t>何に使うか</t>
  </si>
  <si>
    <t>補足</t>
  </si>
  <si>
    <t>ページタイトル</t>
  </si>
  <si>
    <t>研究者WEBサイトテンプレート</t>
  </si>
  <si>
    <t>ブラウザのタブや検索結果のタイトル</t>
  </si>
  <si>
    <t>研究室名・大学名が分かる表記にします。</t>
  </si>
  <si>
    <t>検索結果の説明（ディスクリプション）</t>
  </si>
  <si>
    <t>Google等で検索されたときに表示される短い説明文</t>
  </si>
  <si>
    <t>研究分野や研究室の特徴が短く伝わる文章にします。</t>
  </si>
  <si>
    <t>研究室名（日本語）</t>
  </si>
  <si>
    <t>コミュニケーションデザインラボ - 佐藤研究室</t>
  </si>
  <si>
    <t>ページ上部の研究室名</t>
  </si>
  <si>
    <t>研究室名（英語）</t>
  </si>
  <si>
    <t>Communication Design Laboratory</t>
  </si>
  <si>
    <t>ページ上部の英語表記</t>
  </si>
  <si>
    <t>研究室HP 入力データ｜NEWS</t>
  </si>
  <si>
    <t>このセクションを表示する</t>
  </si>
  <si>
    <t>はい</t>
  </si>
  <si>
    <t>「いいえ」にすると、このセクションと左メニューの項目を削除します。</t>
  </si>
  <si>
    <t>セクション名</t>
  </si>
  <si>
    <t>名称を変える場合だけ編集してください。ページ見出しと左メニューの名称を同じ内容に変更します。</t>
  </si>
  <si>
    <t>NEWS自体が不要なら「このセクションを表示する」を「いいえ」にしてください。リンクが不要なニュースはリンクURLを空欄のままで構いません。</t>
  </si>
  <si>
    <t>日付</t>
  </si>
  <si>
    <t>本文</t>
  </si>
  <si>
    <t>リンクURL</t>
  </si>
  <si>
    <t>2023.10.05</t>
  </si>
  <si>
    <t>[学年]の[研究室のメンバーの名前]君が[学会の名前]で[賞の名前]を受賞しました。</t>
  </si>
  <si>
    <t>[研究室名]では新しい研究プロジェクトを開始しました。このプロジェクトでは[研究のテーマや目的]に焦点を当てています。</t>
  </si>
  <si>
    <t>新しい論文が[学術雑誌の名前]に掲載されました。この論文では[論文の主題や重要な発見]について論じています。</t>
  </si>
  <si>
    <t>当研究室は[研究テーマ]に関する共同研究を[他の研究機関や企業の名前]と開始しました。この共同研究により[期待される成果や目的]を目指します。</t>
  </si>
  <si>
    <t>[学年]の[メンバーの名前]君が[学会の名前]において[講演の主題]というテーマで基調講演を行いました。</t>
  </si>
  <si>
    <t>研究室HP 入力データ｜研究テーマ</t>
  </si>
  <si>
    <t>本文①は画像の上、本文②は画像の下に表示する文章です。画像を文章の途中に置くときだけ①と②を分けて使います。画像を文章の上または下に置く場合、または画像を使わない場合は、本文①だけ（または本文②だけ）でも構いません。</t>
  </si>
  <si>
    <t>見出し</t>
  </si>
  <si>
    <t>本文①（画像の上）</t>
  </si>
  <si>
    <t>本文②（画像の下）</t>
  </si>
  <si>
    <t>人工知能における機械学習アルゴリズムの最適化</t>
  </si>
  <si>
    <t>当研究では、機械学習アルゴリズムの精度と効率を向上させる方法を探求しています。特に、データの前処理、特徴選択、モデル構築の各ステップでの最新の技術を組み合わせることに重点を置いています。</t>
  </si>
  <si>
    <t>この研究により、さまざまな分野での応用が可能なより高度な人工知能システムの開発を目指しています。例えば、医療診断、金融市場分析、自動運転車の技術など、社会に大きな影響を与える分野に貢献することを期待しています。</t>
  </si>
  <si>
    <t>再生可能エネルギー源の開発と利用</t>
  </si>
  <si>
    <t>本研究では、太陽光、風力、地熱などの再生可能エネルギー源の効率的な活用方法を探求しています。これには、エネルギー変換の効率向上やコスト削減の技術開発が含まれます。 また、再生可能エネルギーの普及を促進するための社会的、経済的な戦略についても研究しています。持続可能なエネルギーシステムの構築に向けて、政策提言や公共啓発活動にも力を入れています。</t>
  </si>
  <si>
    <t>ヒトの健康と疾患に関するバイオテクノロジーの応用</t>
  </si>
  <si>
    <t>当研究室では、遺伝子編集技術や幹細胞療法など、最先端のバイオテクノロジーを用いた疾患治療法の開発に取り組んでいます。特に、がんや遺伝性疾患の治療に焦点を当てています。 さらに、これらの治療法の臨床応用に向けて、安全性と効果の評価を行っています。患者のQOL向上に貢献するとともに、新しい医療技術の普及に向けた研究も進めています。</t>
  </si>
  <si>
    <t>研究室HP 入力データ｜研究室のモットー</t>
  </si>
  <si>
    <t>「研究室のモットー」というセクション名自体も変更できます。変更した場合は、ページ見出しと左メニューの名称も同じ内容に変更されます。</t>
  </si>
  <si>
    <t>表題</t>
  </si>
  <si>
    <t>知識の探求と社会への貢献</t>
  </si>
  <si>
    <t>私たちの研究室は、最先端の科学技術を追求し、その成果を社会に還元することをミッションとしています。学術的な探究心と実社会への応用を通じて、世界に貢献することを目指します。</t>
  </si>
  <si>
    <t>革新と協力の精神</t>
  </si>
  <si>
    <t>私たちは、研究の革新を目指し、異なる分野や文化の専門家と積極的に協力することを重視します。多様なアイデアと視点を統合することで、新しい発見とソリューションを生み出すことを目標としています。</t>
  </si>
  <si>
    <t>研究室HP 入力データ｜研究室メンバー</t>
  </si>
  <si>
    <t>下に30行分の入力欄を用意しています。足りない場合は最終行の下へ行を追加して構いません。No.はExcel上の管理用なのでHTMLの表示には使いません。追加行が黄色でなくてもCodexは読み取れますが、判定式がない行は00_チェックの対象外になるため、まずは予備行を使ってください。</t>
  </si>
  <si>
    <t>区分</t>
  </si>
  <si>
    <t>年度</t>
  </si>
  <si>
    <t>氏名・所属等</t>
  </si>
  <si>
    <t>博士後期課程</t>
  </si>
  <si>
    <t>佐藤　明子 (3年)</t>
  </si>
  <si>
    <t>田中　健一 (2年)</t>
  </si>
  <si>
    <t>鈴木　雅人 (1年)</t>
  </si>
  <si>
    <t>博士前期課程</t>
  </si>
  <si>
    <t>伊藤　美咲 (2年)</t>
  </si>
  <si>
    <t>中村　拓哉 (1年)</t>
  </si>
  <si>
    <t>OB / OG</t>
  </si>
  <si>
    <t>1978年度</t>
  </si>
  <si>
    <t>山田　花 (芦田先端技研株式会社)</t>
  </si>
  <si>
    <t>佐々木　一郎 (星明技術研究所　研究員)</t>
  </si>
  <si>
    <t>1979年度</t>
  </si>
  <si>
    <t>吉田　美香 (帝都大学　研究員)</t>
  </si>
  <si>
    <t>鈴木　陽一 (株式会社藍原エコエネルギー研究所)</t>
  </si>
  <si>
    <t>研究室HP 入力データ｜プロフィール</t>
  </si>
  <si>
    <t>経歴・受賞歴・所属学会などの「区分」は自由に変更できます。不要な行は空欄にしてください。下の予備行もそのまま使えます。</t>
  </si>
  <si>
    <t>基本情報</t>
  </si>
  <si>
    <t>肩書</t>
  </si>
  <si>
    <t>教授</t>
  </si>
  <si>
    <t>氏名（日本語）</t>
  </si>
  <si>
    <t>佐藤 太郎</t>
  </si>
  <si>
    <t>氏名（英語）</t>
  </si>
  <si>
    <t>Sato Taro</t>
  </si>
  <si>
    <t>外部リンク名</t>
  </si>
  <si>
    <t>URL</t>
  </si>
  <si>
    <t>帝都大学研究者紹介</t>
  </si>
  <si>
    <t>不要な行は名称とURLを両方空欄にします。</t>
  </si>
  <si>
    <t>Google Scholar</t>
  </si>
  <si>
    <t>年</t>
  </si>
  <si>
    <t>経歴</t>
  </si>
  <si>
    <t>2023</t>
  </si>
  <si>
    <t>帝都大学工学部卒業</t>
  </si>
  <si>
    <t>帝都大学大学院工学研究科博士前期課程入学</t>
  </si>
  <si>
    <t>帝都大学大学院工学研究科博士前期課程修了</t>
  </si>
  <si>
    <t>帝都大学大学院工学研究科博士後期課程入学</t>
  </si>
  <si>
    <t>帝都大学大学院工学研究科博士後期課程修了</t>
  </si>
  <si>
    <t>ABCテクノロジー株式会社　研究員</t>
  </si>
  <si>
    <t>帝都大学　准教授</t>
  </si>
  <si>
    <t>帝都大学　教授</t>
  </si>
  <si>
    <t>受賞歴</t>
  </si>
  <si>
    <t>日本データサイエンス賞受賞</t>
  </si>
  <si>
    <t>国際AI学会最優秀論文賞</t>
  </si>
  <si>
    <t>所属学会</t>
  </si>
  <si>
    <t>全国人工知能研究学会</t>
  </si>
  <si>
    <t>アジア人工知能技術学会</t>
  </si>
  <si>
    <t>先端AIイノベーション学会</t>
  </si>
  <si>
    <t>研究室HP 入力データ｜論文・研究発表</t>
  </si>
  <si>
    <t>分類名は下の「分類設定」で変更します。分類を使わない場合は「表示する」を「いいえ」にしてください。その分類のタブ・左メニュー内の項目・対応する一覧をまとめて削除します。名称を変えれば、タブと左メニュー内の名称も同じ内容に変更します。</t>
  </si>
  <si>
    <t>分類No.</t>
  </si>
  <si>
    <t>表示する</t>
  </si>
  <si>
    <t>分類名</t>
  </si>
  <si>
    <t>論文誌</t>
  </si>
  <si>
    <t>名称変更はこのセルだけで構いません。</t>
  </si>
  <si>
    <t>学会発表</t>
  </si>
  <si>
    <t>外部記事</t>
  </si>
  <si>
    <t>書籍</t>
  </si>
  <si>
    <t>その他</t>
  </si>
  <si>
    <t>分類</t>
  </si>
  <si>
    <t>外部リンクURL</t>
  </si>
  <si>
    <t>佐藤 太郎, 佐藤真理子, 吉田章: 「組み込みシステムにおける人工知能の応用と性能改善」, 全国人工知能研究学会論文誌, 第39巻2号, (2024).</t>
  </si>
  <si>
    <t>論文誌_リスト</t>
  </si>
  <si>
    <t>学会発表_リスト</t>
  </si>
  <si>
    <t>外部記事_リスト</t>
  </si>
  <si>
    <t>書籍_リスト</t>
  </si>
  <si>
    <t>その他_リスト</t>
  </si>
  <si>
    <t>各分類に10件分の入力欄を用意しています。足りない場合は、その分類の最後に行を追加して構いません。No.はExcel上の管理用です。追加行に判定式がなくてもCodexは内容を読み取れますが、00_チェックでは検査されません。</t>
  </si>
  <si>
    <t>研究室HP 入力データ｜Contact</t>
  </si>
  <si>
    <t>Contact自体が不要なら「このセクションを表示する」を「いいえ」にしてください。Google Mapだけ非表示にすることもできます。</t>
  </si>
  <si>
    <t>募集・問い合わせ文</t>
  </si>
  <si>
    <t>「コミュニケーションデザインラボ - 佐藤研究室」では学生の研究生を募集しています。興味がある方はお気軽にご連絡ください。</t>
  </si>
  <si>
    <t>問い合わせ文。</t>
  </si>
  <si>
    <t>メールアドレス</t>
  </si>
  <si>
    <t>sample@test.co.jp</t>
  </si>
  <si>
    <t>公開問い合わせ先。</t>
  </si>
  <si>
    <t>郵便番号</t>
  </si>
  <si>
    <t>〒000-0000</t>
  </si>
  <si>
    <t>住所</t>
  </si>
  <si>
    <t>東京都千代田区0-0-0帝都大学千代田キャンパス3号館201号室</t>
  </si>
  <si>
    <t>Google Map設定</t>
  </si>
  <si>
    <t>説明</t>
  </si>
  <si>
    <t>Google Mapを表示する</t>
  </si>
  <si>
    <t>地図が不要なら「いいえ」にします。</t>
  </si>
  <si>
    <t>Google Map埋め込みHTML</t>
  </si>
  <si>
    <t>ここにGoogle Mapの「HTMLをコピー」で取得したiframeを貼り付けてください</t>
  </si>
  <si>
    <t>Google Mapの共有 → 地図を埋め込む → HTMLをコピー、で取得した内容をそのまま貼り付けます。</t>
  </si>
  <si>
    <t>Google Map 設定手順</t>
  </si>
  <si>
    <t>1. Google Mapsで研究室の場所を表示します。
2. 「共有」を押し、「地図を埋め込む」を選びます。
3. 「HTMLをコピー」を押します。
4. コピーした &lt;iframe ...&gt;&lt;/iframe&gt; 全体を上の「Google Map埋め込みHTML」に貼り付けます。</t>
  </si>
  <si>
    <t>Google Maps</t>
  </si>
  <si>
    <t>https://www.google.com/maps</t>
  </si>
  <si>
    <t>研究室HP 入力データ｜フッター</t>
  </si>
  <si>
    <t>コピーライトの研究室名を差し替えてください。</t>
  </si>
  <si>
    <t>Copyright (C) 研究室名. All Rights Reserved.</t>
  </si>
  <si>
    <t>研究室名を差し替えます。</t>
  </si>
  <si>
    <r>
      <rPr>
        <sz val="10"/>
        <rFont val="ＭＳ ゴシック"/>
        <family val="3"/>
        <charset val="128"/>
      </rPr>
      <t>各シートの黄色いセルを確認してください。「入力完了」になれば、サンプルのまま残っている必須項目はありません。</t>
    </r>
    <r>
      <rPr>
        <sz val="10"/>
        <rFont val="Aptos"/>
        <family val="2"/>
      </rPr>
      <t xml:space="preserve">
</t>
    </r>
    <r>
      <rPr>
        <b/>
        <sz val="10"/>
        <rFont val="游ゴシック"/>
        <family val="2"/>
        <charset val="128"/>
      </rPr>
      <t>このファイルは</t>
    </r>
    <r>
      <rPr>
        <b/>
        <sz val="10"/>
        <rFont val="Aptos"/>
        <family val="2"/>
      </rPr>
      <t>GitHub</t>
    </r>
    <r>
      <rPr>
        <b/>
        <sz val="10"/>
        <rFont val="游ゴシック"/>
        <family val="2"/>
        <charset val="128"/>
      </rPr>
      <t>に保存される可能性があります。公開されても問題ない情報だけを記入してください。</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</si>
</sst>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0"/>
      <color rgb="FFFFFFFF"/>
      <name val="Aptos"/>
      <family val="2"/>
    </font>
    <font>
      <sz val="10"/>
      <name val="Aptos"/>
      <family val="2"/>
    </font>
    <font>
      <b/>
      <sz val="10"/>
      <name val="Aptos"/>
      <family val="2"/>
    </font>
    <font>
      <sz val="10"/>
      <color rgb="FF7C4A03"/>
      <name val="Aptos"/>
      <family val="2"/>
    </font>
    <font>
      <b/>
      <sz val="14"/>
      <color rgb="FFFFFFFF"/>
      <name val="Aptos"/>
      <family val="2"/>
    </font>
    <font>
      <sz val="10"/>
      <color rgb="FF555555"/>
      <name val="Aptos"/>
      <family val="2"/>
    </font>
    <font>
      <sz val="10"/>
      <color rgb="FF334155"/>
      <name val="Aptos"/>
      <family val="2"/>
    </font>
    <font>
      <sz val="10"/>
      <color rgb="FF444444"/>
      <name val="Aptos"/>
      <family val="2"/>
    </font>
    <font>
      <sz val="10"/>
      <color rgb="FF0563C1"/>
      <name val="Aptos"/>
      <family val="2"/>
    </font>
    <font>
      <sz val="11"/>
      <name val="Carlito"/>
    </font>
    <font>
      <sz val="6"/>
      <name val="ＭＳ Ｐゴシック"/>
      <family val="3"/>
      <charset val="128"/>
    </font>
    <font>
      <sz val="10"/>
      <name val="ＭＳ ゴシック"/>
      <family val="3"/>
      <charset val="128"/>
    </font>
    <font>
      <b/>
      <sz val="10"/>
      <name val="游ゴシック"/>
      <family val="2"/>
      <charset val="128"/>
    </font>
    <font>
      <sz val="10"/>
      <name val="Aptos"/>
      <family val="3"/>
      <charset val="128"/>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FFF4E5"/>
      </patternFill>
    </fill>
    <fill>
      <patternFill patternType="solid">
        <fgColor rgb="FFFFF2CC"/>
      </patternFill>
    </fill>
    <fill>
      <patternFill patternType="solid">
        <fgColor rgb="FFF2F2F2"/>
      </patternFill>
    </fill>
    <fill>
      <patternFill patternType="solid">
        <fgColor rgb="FFEAF3F8"/>
      </patternFill>
    </fill>
  </fills>
  <borders count="1">
    <border>
      <left/>
      <right/>
      <top/>
      <bottom/>
      <diagonal/>
    </border>
  </borders>
  <cellStyleXfs count="2">
    <xf numFmtId="0" fontId="0" fillId="0" borderId="0"/>
    <xf numFmtId="0" fontId="10" fillId="0" borderId="0"/>
  </cellStyleXfs>
  <cellXfs count="16">
    <xf numFmtId="0" fontId="0" fillId="0" borderId="0" xfId="0"/>
    <xf numFmtId="0" fontId="1" fillId="4" borderId="0" xfId="1" applyFont="1" applyFill="1" applyAlignment="1">
      <alignment horizontal="center" vertical="top" wrapText="1"/>
    </xf>
    <xf numFmtId="0" fontId="2" fillId="0" borderId="0" xfId="1" applyFont="1" applyAlignment="1">
      <alignment vertical="top" wrapText="1"/>
    </xf>
    <xf numFmtId="0" fontId="3" fillId="3" borderId="0" xfId="1" applyFont="1" applyFill="1" applyAlignment="1">
      <alignment vertical="top" wrapText="1"/>
    </xf>
    <xf numFmtId="0" fontId="2" fillId="6" borderId="0" xfId="1" applyFont="1" applyFill="1" applyAlignment="1">
      <alignment vertical="top" wrapText="1"/>
    </xf>
    <xf numFmtId="0" fontId="3" fillId="8" borderId="0" xfId="1" applyFont="1" applyFill="1" applyAlignment="1">
      <alignment vertical="top" wrapText="1"/>
    </xf>
    <xf numFmtId="0" fontId="8" fillId="7" borderId="0" xfId="1" applyFont="1" applyFill="1" applyAlignment="1">
      <alignment vertical="top" wrapText="1"/>
    </xf>
    <xf numFmtId="0" fontId="9" fillId="8" borderId="0" xfId="1" applyFont="1" applyFill="1" applyAlignment="1">
      <alignment vertical="top" wrapText="1"/>
    </xf>
    <xf numFmtId="0" fontId="5" fillId="2" borderId="0" xfId="1" applyFont="1" applyFill="1" applyAlignment="1">
      <alignment vertical="top" wrapText="1"/>
    </xf>
    <xf numFmtId="0" fontId="6" fillId="7" borderId="0" xfId="1" applyFont="1" applyFill="1" applyAlignment="1">
      <alignment vertical="top" wrapText="1"/>
    </xf>
    <xf numFmtId="0" fontId="7" fillId="8" borderId="0" xfId="1" applyFont="1" applyFill="1" applyAlignment="1">
      <alignment vertical="top" wrapText="1"/>
    </xf>
    <xf numFmtId="0" fontId="3" fillId="3" borderId="0" xfId="1" applyFont="1" applyFill="1" applyAlignment="1">
      <alignment vertical="top" wrapText="1"/>
    </xf>
    <xf numFmtId="0" fontId="2" fillId="3" borderId="0" xfId="1" applyFont="1" applyFill="1" applyAlignment="1">
      <alignment vertical="top" wrapText="1"/>
    </xf>
    <xf numFmtId="0" fontId="3" fillId="0" borderId="0" xfId="1" applyFont="1" applyAlignment="1">
      <alignment horizontal="center" vertical="top" wrapText="1"/>
    </xf>
    <xf numFmtId="0" fontId="4" fillId="5" borderId="0" xfId="1" applyFont="1" applyFill="1" applyAlignment="1">
      <alignment vertical="top" wrapText="1"/>
    </xf>
    <xf numFmtId="0" fontId="14" fillId="3" borderId="0" xfId="1" applyFont="1" applyFill="1" applyAlignment="1">
      <alignment vertical="top" wrapText="1"/>
    </xf>
  </cellXfs>
  <cellStyles count="2">
    <cellStyle name="Normal" xfId="1" xr:uid="{00000000-0005-0000-0000-000000000000}"/>
    <cellStyle name="標準" xfId="0" builtinId="0"/>
  </cellStyles>
  <dxfs count="71">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color rgb="FF666666"/>
      </font>
      <fill>
        <patternFill patternType="solid">
          <bgColor rgb="FFE7E6E6"/>
        </patternFill>
      </fill>
    </dxf>
    <dxf>
      <font>
        <b/>
        <color rgb="FF375623"/>
      </font>
      <fill>
        <patternFill patternType="solid">
          <bgColor rgb="FFE2F0D9"/>
        </patternFill>
      </fill>
    </dxf>
    <dxf>
      <font>
        <b/>
        <color rgb="FF9C0006"/>
      </font>
      <fill>
        <patternFill patternType="solid">
          <bgColor rgb="FFFDE9E7"/>
        </patternFill>
      </fill>
    </dxf>
    <dxf>
      <font>
        <b/>
        <color rgb="FF375623"/>
      </font>
      <fill>
        <patternFill patternType="solid">
          <bgColor rgb="FFE2F0D9"/>
        </patternFill>
      </fill>
    </dxf>
    <dxf>
      <font>
        <b/>
        <color rgb="FF9C0006"/>
      </font>
      <fill>
        <patternFill patternType="solid">
          <bgColor rgb="FFFDE9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election activeCell="B9" sqref="B9"/>
    </sheetView>
  </sheetViews>
  <sheetFormatPr defaultRowHeight="14"/>
  <cols>
    <col min="1" max="1" width="8" customWidth="1"/>
    <col min="2" max="2" width="30" customWidth="1"/>
    <col min="3" max="3" width="20" customWidth="1"/>
    <col min="4" max="4" width="28" customWidth="1"/>
    <col min="5" max="5" width="55" customWidth="1"/>
  </cols>
  <sheetData>
    <row r="1" spans="1:5" ht="20" customHeight="1">
      <c r="A1" s="8" t="s">
        <v>0</v>
      </c>
      <c r="B1" s="8"/>
      <c r="C1" s="8"/>
      <c r="D1" s="8"/>
      <c r="E1" s="8"/>
    </row>
    <row r="2" spans="1:5" ht="30.5" customHeight="1">
      <c r="A2" s="15" t="s">
        <v>198</v>
      </c>
      <c r="B2" s="12"/>
      <c r="C2" s="12"/>
      <c r="D2" s="12"/>
      <c r="E2" s="12"/>
    </row>
    <row r="3" spans="1:5">
      <c r="A3" s="2"/>
      <c r="B3" s="2"/>
      <c r="C3" s="2"/>
      <c r="D3" s="2"/>
      <c r="E3" s="2"/>
    </row>
    <row r="4" spans="1:5">
      <c r="A4" s="3" t="s">
        <v>1</v>
      </c>
      <c r="B4" s="13" t="str">
        <f>IF(OR(C7="ERROR: 要編集あり",C8="ERROR: 要編集あり",C9="ERROR: 要編集あり",C10="ERROR: 要編集あり",C11="ERROR: 要編集あり",C12="ERROR: 要編集あり",C13="ERROR: 要編集あり",C14="ERROR: 要編集あり",C15="ERROR: 要編集あり"),"入力未完了","入力完了")</f>
        <v>入力未完了</v>
      </c>
      <c r="C4" s="13"/>
      <c r="D4" s="2"/>
      <c r="E4" s="2"/>
    </row>
    <row r="5" spans="1:5">
      <c r="A5" s="2"/>
      <c r="B5" s="2"/>
      <c r="C5" s="2"/>
      <c r="D5" s="2"/>
      <c r="E5" s="2"/>
    </row>
    <row r="6" spans="1:5" ht="20" customHeight="1">
      <c r="A6" s="1" t="s">
        <v>2</v>
      </c>
      <c r="B6" s="1" t="s">
        <v>3</v>
      </c>
      <c r="C6" s="1" t="s">
        <v>4</v>
      </c>
      <c r="D6" s="1" t="s">
        <v>5</v>
      </c>
      <c r="E6" s="1" t="s">
        <v>6</v>
      </c>
    </row>
    <row r="7" spans="1:5" ht="20" customHeight="1">
      <c r="A7" s="2" t="s">
        <v>7</v>
      </c>
      <c r="B7" s="2" t="s">
        <v>8</v>
      </c>
      <c r="C7" s="2" t="str">
        <f>'01_基本情報'!C4</f>
        <v>ERROR: 要編集あり</v>
      </c>
      <c r="D7" s="2" t="s">
        <v>9</v>
      </c>
      <c r="E7" s="2" t="s">
        <v>10</v>
      </c>
    </row>
    <row r="8" spans="1:5" ht="20" customHeight="1">
      <c r="A8" s="2" t="s">
        <v>11</v>
      </c>
      <c r="B8" s="2" t="s">
        <v>12</v>
      </c>
      <c r="C8" s="2" t="str">
        <f>'02_NEWS'!C5</f>
        <v>ERROR: 要編集あり</v>
      </c>
      <c r="D8" s="2" t="s">
        <v>13</v>
      </c>
      <c r="E8" s="2" t="s">
        <v>14</v>
      </c>
    </row>
    <row r="9" spans="1:5" ht="20" customHeight="1">
      <c r="A9" s="2" t="s">
        <v>15</v>
      </c>
      <c r="B9" s="2" t="s">
        <v>16</v>
      </c>
      <c r="C9" s="2" t="str">
        <f>'03_研究テーマ'!C5</f>
        <v>ERROR: 要編集あり</v>
      </c>
      <c r="D9" s="2" t="s">
        <v>17</v>
      </c>
      <c r="E9" s="2" t="s">
        <v>18</v>
      </c>
    </row>
    <row r="10" spans="1:5" ht="20" customHeight="1">
      <c r="A10" s="2" t="s">
        <v>19</v>
      </c>
      <c r="B10" s="2" t="s">
        <v>20</v>
      </c>
      <c r="C10" s="2" t="str">
        <f>'04_研究室のモットー'!C5</f>
        <v>ERROR: 要編集あり</v>
      </c>
      <c r="D10" s="2" t="s">
        <v>21</v>
      </c>
      <c r="E10" s="2" t="s">
        <v>22</v>
      </c>
    </row>
    <row r="11" spans="1:5" ht="20" customHeight="1">
      <c r="A11" s="2" t="s">
        <v>23</v>
      </c>
      <c r="B11" s="2" t="s">
        <v>24</v>
      </c>
      <c r="C11" s="2" t="str">
        <f>'05_研究室メンバー'!C5</f>
        <v>ERROR: 要編集あり</v>
      </c>
      <c r="D11" s="2" t="s">
        <v>25</v>
      </c>
      <c r="E11" s="2" t="s">
        <v>26</v>
      </c>
    </row>
    <row r="12" spans="1:5" ht="20" customHeight="1">
      <c r="A12" s="2" t="s">
        <v>27</v>
      </c>
      <c r="B12" s="2" t="s">
        <v>28</v>
      </c>
      <c r="C12" s="2" t="str">
        <f>'06_プロフィール'!C5</f>
        <v>ERROR: 要編集あり</v>
      </c>
      <c r="D12" s="2" t="s">
        <v>29</v>
      </c>
      <c r="E12" s="2" t="s">
        <v>30</v>
      </c>
    </row>
    <row r="13" spans="1:5" ht="20" customHeight="1">
      <c r="A13" s="2" t="s">
        <v>31</v>
      </c>
      <c r="B13" s="2" t="s">
        <v>32</v>
      </c>
      <c r="C13" s="2" t="str">
        <f>'07_論文・研究発表'!C5</f>
        <v>ERROR: 要編集あり</v>
      </c>
      <c r="D13" s="2" t="s">
        <v>33</v>
      </c>
      <c r="E13" s="2" t="s">
        <v>34</v>
      </c>
    </row>
    <row r="14" spans="1:5" ht="20" customHeight="1">
      <c r="A14" s="2" t="s">
        <v>35</v>
      </c>
      <c r="B14" s="2" t="s">
        <v>36</v>
      </c>
      <c r="C14" s="2" t="str">
        <f>'08_Contact'!C5</f>
        <v>ERROR: 要編集あり</v>
      </c>
      <c r="D14" s="2" t="s">
        <v>37</v>
      </c>
      <c r="E14" s="2" t="s">
        <v>38</v>
      </c>
    </row>
    <row r="15" spans="1:5" ht="20" customHeight="1">
      <c r="A15" s="2" t="s">
        <v>39</v>
      </c>
      <c r="B15" s="2" t="s">
        <v>40</v>
      </c>
      <c r="C15" s="2" t="str">
        <f>'09_フッター'!C4</f>
        <v>ERROR: 要編集あり</v>
      </c>
      <c r="D15" s="2" t="s">
        <v>41</v>
      </c>
      <c r="E15" s="2" t="s">
        <v>42</v>
      </c>
    </row>
    <row r="16" spans="1:5">
      <c r="A16" s="2"/>
      <c r="B16" s="2"/>
      <c r="C16" s="2"/>
      <c r="D16" s="2"/>
      <c r="E16" s="2"/>
    </row>
    <row r="17" spans="1:5" ht="17.399999999999999" customHeight="1">
      <c r="A17" s="14" t="s">
        <v>43</v>
      </c>
      <c r="B17" s="14"/>
      <c r="C17" s="14"/>
      <c r="D17" s="14"/>
      <c r="E17" s="14"/>
    </row>
    <row r="18" spans="1:5" ht="17.399999999999999" customHeight="1">
      <c r="A18" s="14"/>
      <c r="B18" s="14"/>
      <c r="C18" s="14"/>
      <c r="D18" s="14"/>
      <c r="E18" s="14"/>
    </row>
    <row r="19" spans="1:5" ht="17.399999999999999" customHeight="1">
      <c r="A19" s="14"/>
      <c r="B19" s="14"/>
      <c r="C19" s="14"/>
      <c r="D19" s="14"/>
      <c r="E19" s="14"/>
    </row>
  </sheetData>
  <mergeCells count="4">
    <mergeCell ref="A1:E1"/>
    <mergeCell ref="A2:E2"/>
    <mergeCell ref="B4:C4"/>
    <mergeCell ref="A17:E19"/>
  </mergeCells>
  <phoneticPr fontId="11"/>
  <conditionalFormatting sqref="B4:C4">
    <cfRule type="expression" dxfId="70" priority="1">
      <formula>B4="入力未完了"</formula>
    </cfRule>
    <cfRule type="expression" dxfId="69" priority="2">
      <formula>B4="入力完了"</formula>
    </cfRule>
  </conditionalFormatting>
  <conditionalFormatting sqref="C7:C15">
    <cfRule type="expression" dxfId="68" priority="3">
      <formula>OR(A1="要編集",A1="未入力",LEFT(A1,5)="ERROR")</formula>
    </cfRule>
    <cfRule type="expression" dxfId="67" priority="4">
      <formula>A1="OK"</formula>
    </cfRule>
    <cfRule type="expression" dxfId="66" priority="5">
      <formula>A1="削除予定"</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defaultRowHeight="14"/>
  <cols>
    <col min="1" max="1" width="34" customWidth="1"/>
    <col min="2" max="2" width="60" customWidth="1"/>
    <col min="3" max="3" width="16" customWidth="1"/>
    <col min="4" max="4" width="52" customWidth="1"/>
    <col min="5" max="5" width="42" customWidth="1"/>
  </cols>
  <sheetData>
    <row r="1" spans="1:5" ht="20" customHeight="1">
      <c r="A1" s="8" t="s">
        <v>44</v>
      </c>
      <c r="B1" s="8"/>
      <c r="C1" s="8"/>
      <c r="D1" s="8"/>
      <c r="E1" s="8"/>
    </row>
    <row r="2" spans="1:5" ht="20" customHeight="1">
      <c r="A2" s="12" t="s">
        <v>45</v>
      </c>
      <c r="B2" s="12"/>
      <c r="C2" s="12"/>
      <c r="D2" s="12"/>
      <c r="E2" s="12"/>
    </row>
    <row r="3" spans="1:5">
      <c r="A3" s="2"/>
      <c r="B3" s="2"/>
      <c r="C3" s="2"/>
      <c r="D3" s="2"/>
      <c r="E3" s="2"/>
    </row>
    <row r="4" spans="1:5">
      <c r="A4" s="3" t="s">
        <v>46</v>
      </c>
      <c r="B4" s="2"/>
      <c r="C4" s="2" t="str">
        <f>IF(OR(C7="要編集",C7="未入力",C8="要編集",C8="未入力",C9="要編集",C9="未入力",C10="要編集",C10="未入力"),"ERROR: 要編集あり","OK")</f>
        <v>ERROR: 要編集あり</v>
      </c>
      <c r="D4" s="2"/>
      <c r="E4" s="2"/>
    </row>
    <row r="5" spans="1:5">
      <c r="A5" s="2"/>
      <c r="B5" s="2"/>
      <c r="C5" s="2"/>
      <c r="D5" s="2"/>
      <c r="E5" s="2"/>
    </row>
    <row r="6" spans="1:5" ht="20" customHeight="1">
      <c r="A6" s="1" t="s">
        <v>47</v>
      </c>
      <c r="B6" s="1" t="s">
        <v>48</v>
      </c>
      <c r="C6" s="1" t="s">
        <v>49</v>
      </c>
      <c r="D6" s="1" t="s">
        <v>50</v>
      </c>
      <c r="E6" s="1" t="s">
        <v>51</v>
      </c>
    </row>
    <row r="7" spans="1:5" ht="29.4" customHeight="1">
      <c r="A7" s="2" t="s">
        <v>52</v>
      </c>
      <c r="B7" s="4" t="s">
        <v>53</v>
      </c>
      <c r="C7" s="2" t="str">
        <f>IF(B7="","未入力",IF(B7="研究者WEBサイトテンプレート","要編集","OK"))</f>
        <v>要編集</v>
      </c>
      <c r="D7" s="2" t="s">
        <v>54</v>
      </c>
      <c r="E7" s="2" t="s">
        <v>55</v>
      </c>
    </row>
    <row r="8" spans="1:5" ht="29.4" customHeight="1">
      <c r="A8" s="2" t="s">
        <v>56</v>
      </c>
      <c r="B8" s="4" t="s">
        <v>53</v>
      </c>
      <c r="C8" s="2" t="str">
        <f>IF(B8="","未入力",IF(B8="研究者WEBサイトテンプレート","要編集","OK"))</f>
        <v>要編集</v>
      </c>
      <c r="D8" s="2" t="s">
        <v>57</v>
      </c>
      <c r="E8" s="2" t="s">
        <v>58</v>
      </c>
    </row>
    <row r="9" spans="1:5" ht="29.4" customHeight="1">
      <c r="A9" s="2" t="s">
        <v>59</v>
      </c>
      <c r="B9" s="4" t="s">
        <v>60</v>
      </c>
      <c r="C9" s="2" t="str">
        <f>IF(B9="","未入力",IF(B9="コミュニケーションデザインラボ - 佐藤研究室","要編集","OK"))</f>
        <v>要編集</v>
      </c>
      <c r="D9" s="2" t="s">
        <v>61</v>
      </c>
      <c r="E9" s="2"/>
    </row>
    <row r="10" spans="1:5" ht="29.4" customHeight="1">
      <c r="A10" s="2" t="s">
        <v>62</v>
      </c>
      <c r="B10" s="4" t="s">
        <v>63</v>
      </c>
      <c r="C10" s="2" t="str">
        <f>IF(B10="","未入力",IF(B10="Communication Design Laboratory","要編集","OK"))</f>
        <v>要編集</v>
      </c>
      <c r="D10" s="2" t="s">
        <v>64</v>
      </c>
      <c r="E10" s="2"/>
    </row>
  </sheetData>
  <mergeCells count="2">
    <mergeCell ref="A1:E1"/>
    <mergeCell ref="A2:E2"/>
  </mergeCells>
  <phoneticPr fontId="11"/>
  <conditionalFormatting sqref="C4">
    <cfRule type="expression" dxfId="65" priority="4">
      <formula>OR(A1="要編集",A1="未入力",LEFT(A1,5)="ERROR")</formula>
    </cfRule>
    <cfRule type="expression" dxfId="64" priority="5">
      <formula>A1="OK"</formula>
    </cfRule>
    <cfRule type="expression" dxfId="63" priority="6">
      <formula>A1="削除予定"</formula>
    </cfRule>
  </conditionalFormatting>
  <conditionalFormatting sqref="C7:C10">
    <cfRule type="expression" dxfId="62" priority="1">
      <formula>OR(A1="要編集",A1="未入力",LEFT(A1,5)="ERROR")</formula>
    </cfRule>
    <cfRule type="expression" dxfId="61" priority="2">
      <formula>A1="OK"</formula>
    </cfRule>
    <cfRule type="expression" dxfId="60" priority="3">
      <formula>A1="削除予定"</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heetViews>
  <sheetFormatPr defaultRowHeight="14"/>
  <cols>
    <col min="1" max="1" width="8" customWidth="1"/>
    <col min="2" max="2" width="16" customWidth="1"/>
    <col min="3" max="3" width="72" customWidth="1"/>
    <col min="4" max="4" width="42" customWidth="1"/>
    <col min="5" max="5" width="16" customWidth="1"/>
  </cols>
  <sheetData>
    <row r="1" spans="1:5" ht="20" customHeight="1">
      <c r="A1" s="8" t="s">
        <v>65</v>
      </c>
      <c r="B1" s="8"/>
      <c r="C1" s="8"/>
      <c r="D1" s="8"/>
      <c r="E1" s="8"/>
    </row>
    <row r="2" spans="1:5" ht="18.649999999999999" customHeight="1">
      <c r="A2" s="3" t="s">
        <v>66</v>
      </c>
      <c r="B2" s="4" t="s">
        <v>67</v>
      </c>
      <c r="C2" s="9" t="s">
        <v>68</v>
      </c>
      <c r="D2" s="9"/>
      <c r="E2" s="9"/>
    </row>
    <row r="3" spans="1:5" ht="18.649999999999999" customHeight="1">
      <c r="A3" s="3" t="s">
        <v>69</v>
      </c>
      <c r="B3" s="4" t="s">
        <v>13</v>
      </c>
      <c r="C3" s="9" t="s">
        <v>70</v>
      </c>
      <c r="D3" s="9"/>
      <c r="E3" s="9"/>
    </row>
    <row r="4" spans="1:5">
      <c r="A4" s="2"/>
      <c r="B4" s="2"/>
      <c r="C4" s="2"/>
      <c r="D4" s="2"/>
      <c r="E4" s="2"/>
    </row>
    <row r="5" spans="1:5" ht="26">
      <c r="A5" s="3" t="s">
        <v>46</v>
      </c>
      <c r="B5" s="2"/>
      <c r="C5" s="2" t="str">
        <f>IF(B2="いいえ","削除予定",IF(COUNTIF(E10:E21,"要編集")+COUNTIF(E10:E21,"未入力")&gt;0,"ERROR: 要編集あり","OK"))</f>
        <v>ERROR: 要編集あり</v>
      </c>
      <c r="D5" s="2"/>
      <c r="E5" s="2"/>
    </row>
    <row r="6" spans="1:5">
      <c r="A6" s="2"/>
      <c r="B6" s="2"/>
      <c r="C6" s="2"/>
      <c r="D6" s="2"/>
      <c r="E6" s="2"/>
    </row>
    <row r="7" spans="1:5" ht="32" customHeight="1">
      <c r="A7" s="10" t="s">
        <v>71</v>
      </c>
      <c r="B7" s="10"/>
      <c r="C7" s="10"/>
      <c r="D7" s="10"/>
      <c r="E7" s="10"/>
    </row>
    <row r="8" spans="1:5">
      <c r="A8" s="2"/>
      <c r="B8" s="2"/>
      <c r="C8" s="2"/>
      <c r="D8" s="2"/>
      <c r="E8" s="2"/>
    </row>
    <row r="9" spans="1:5" ht="20" customHeight="1">
      <c r="A9" s="1" t="s">
        <v>2</v>
      </c>
      <c r="B9" s="1" t="s">
        <v>72</v>
      </c>
      <c r="C9" s="1" t="s">
        <v>73</v>
      </c>
      <c r="D9" s="1" t="s">
        <v>74</v>
      </c>
      <c r="E9" s="1" t="s">
        <v>49</v>
      </c>
    </row>
    <row r="10" spans="1:5" ht="32" customHeight="1">
      <c r="A10" s="2">
        <v>1</v>
      </c>
      <c r="B10" s="4" t="s">
        <v>75</v>
      </c>
      <c r="C10" s="4" t="s">
        <v>76</v>
      </c>
      <c r="D10" s="4"/>
      <c r="E10" s="2" t="str">
        <f>IF($B$2="いいえ","削除予定",IF(AND(B10="",C10="",D10=""),"削除予定",IF(AND(B10="2023.10.05",C10="[学年]の[研究室のメンバーの名前]君が[学会の名前]で[賞の名前]を受賞しました。"),"要編集",IF(OR(B10="",C10=""),"未入力","OK"))))</f>
        <v>要編集</v>
      </c>
    </row>
    <row r="11" spans="1:5" ht="32" customHeight="1">
      <c r="A11" s="2">
        <v>2</v>
      </c>
      <c r="B11" s="4" t="s">
        <v>75</v>
      </c>
      <c r="C11" s="4" t="s">
        <v>77</v>
      </c>
      <c r="D11" s="4"/>
      <c r="E11" s="2" t="str">
        <f>IF($B$2="いいえ","削除予定",IF(AND(B11="",C11="",D11=""),"削除予定",IF(AND(B11="2023.10.05",C11="[研究室名]では新しい研究プロジェクトを開始しました。このプロジェクトでは[研究のテーマや目的]に焦点を当てています。"),"要編集",IF(OR(B11="",C11=""),"未入力","OK"))))</f>
        <v>要編集</v>
      </c>
    </row>
    <row r="12" spans="1:5" ht="32" customHeight="1">
      <c r="A12" s="2">
        <v>3</v>
      </c>
      <c r="B12" s="4" t="s">
        <v>75</v>
      </c>
      <c r="C12" s="4" t="s">
        <v>78</v>
      </c>
      <c r="D12" s="4"/>
      <c r="E12" s="2" t="str">
        <f>IF($B$2="いいえ","削除予定",IF(AND(B12="",C12="",D12=""),"削除予定",IF(AND(B12="2023.10.05",C12="新しい論文が[学術雑誌の名前]に掲載されました。この論文では[論文の主題や重要な発見]について論じています。"),"要編集",IF(OR(B12="",C12=""),"未入力","OK"))))</f>
        <v>要編集</v>
      </c>
    </row>
    <row r="13" spans="1:5" ht="32" customHeight="1">
      <c r="A13" s="2">
        <v>4</v>
      </c>
      <c r="B13" s="4" t="s">
        <v>75</v>
      </c>
      <c r="C13" s="4" t="s">
        <v>79</v>
      </c>
      <c r="D13" s="4"/>
      <c r="E13" s="2" t="str">
        <f>IF($B$2="いいえ","削除予定",IF(AND(B13="",C13="",D13=""),"削除予定",IF(AND(B13="2023.10.05",C13="当研究室は[研究テーマ]に関する共同研究を[他の研究機関や企業の名前]と開始しました。この共同研究により[期待される成果や目的]を目指します。"),"要編集",IF(OR(B13="",C13=""),"未入力","OK"))))</f>
        <v>要編集</v>
      </c>
    </row>
    <row r="14" spans="1:5" ht="32" customHeight="1">
      <c r="A14" s="2">
        <v>5</v>
      </c>
      <c r="B14" s="4" t="s">
        <v>75</v>
      </c>
      <c r="C14" s="4" t="s">
        <v>80</v>
      </c>
      <c r="D14" s="4"/>
      <c r="E14" s="2" t="str">
        <f>IF($B$2="いいえ","削除予定",IF(AND(B14="",C14="",D14=""),"削除予定",IF(AND(B14="2023.10.05",C14="[学年]の[メンバーの名前]君が[学会の名前]において[講演の主題]というテーマで基調講演を行いました。"),"要編集",IF(OR(B14="",C14=""),"未入力","OK"))))</f>
        <v>要編集</v>
      </c>
    </row>
    <row r="15" spans="1:5" ht="21.4" customHeight="1">
      <c r="A15" s="2">
        <v>6</v>
      </c>
      <c r="B15" s="4"/>
      <c r="C15" s="4"/>
      <c r="D15" s="4"/>
      <c r="E15" s="2" t="str">
        <f t="shared" ref="E15:E21" si="0">IF($B$2="いいえ","削除予定",IF(AND(B15="",C15="",D15=""),"削除予定",IF(OR(B15="",C15=""),"未入力","OK")))</f>
        <v>削除予定</v>
      </c>
    </row>
    <row r="16" spans="1:5" ht="21.4" customHeight="1">
      <c r="A16" s="2">
        <v>7</v>
      </c>
      <c r="B16" s="4"/>
      <c r="C16" s="4"/>
      <c r="D16" s="4"/>
      <c r="E16" s="2" t="str">
        <f t="shared" si="0"/>
        <v>削除予定</v>
      </c>
    </row>
    <row r="17" spans="1:5" ht="21.4" customHeight="1">
      <c r="A17" s="2">
        <v>8</v>
      </c>
      <c r="B17" s="4"/>
      <c r="C17" s="4"/>
      <c r="D17" s="4"/>
      <c r="E17" s="2" t="str">
        <f t="shared" si="0"/>
        <v>削除予定</v>
      </c>
    </row>
    <row r="18" spans="1:5" ht="21.4" customHeight="1">
      <c r="A18" s="2">
        <v>9</v>
      </c>
      <c r="B18" s="4"/>
      <c r="C18" s="4"/>
      <c r="D18" s="4"/>
      <c r="E18" s="2" t="str">
        <f t="shared" si="0"/>
        <v>削除予定</v>
      </c>
    </row>
    <row r="19" spans="1:5" ht="21.4" customHeight="1">
      <c r="A19" s="2">
        <v>10</v>
      </c>
      <c r="B19" s="4"/>
      <c r="C19" s="4"/>
      <c r="D19" s="4"/>
      <c r="E19" s="2" t="str">
        <f t="shared" si="0"/>
        <v>削除予定</v>
      </c>
    </row>
    <row r="20" spans="1:5" ht="21.4" customHeight="1">
      <c r="A20" s="2">
        <v>11</v>
      </c>
      <c r="B20" s="4"/>
      <c r="C20" s="4"/>
      <c r="D20" s="4"/>
      <c r="E20" s="2" t="str">
        <f t="shared" si="0"/>
        <v>削除予定</v>
      </c>
    </row>
    <row r="21" spans="1:5" ht="21.4" customHeight="1">
      <c r="A21" s="2">
        <v>12</v>
      </c>
      <c r="B21" s="4"/>
      <c r="C21" s="4"/>
      <c r="D21" s="4"/>
      <c r="E21" s="2" t="str">
        <f t="shared" si="0"/>
        <v>削除予定</v>
      </c>
    </row>
  </sheetData>
  <mergeCells count="4">
    <mergeCell ref="A1:E1"/>
    <mergeCell ref="C2:E2"/>
    <mergeCell ref="C3:E3"/>
    <mergeCell ref="A7:E7"/>
  </mergeCells>
  <phoneticPr fontId="11"/>
  <conditionalFormatting sqref="C5">
    <cfRule type="expression" dxfId="59" priority="4">
      <formula>OR(A1="要編集",A1="未入力",LEFT(A1,5)="ERROR")</formula>
    </cfRule>
    <cfRule type="expression" dxfId="58" priority="5">
      <formula>A1="OK"</formula>
    </cfRule>
    <cfRule type="expression" dxfId="57" priority="6">
      <formula>A1="削除予定"</formula>
    </cfRule>
  </conditionalFormatting>
  <conditionalFormatting sqref="E10:E21">
    <cfRule type="expression" dxfId="56" priority="1">
      <formula>OR(A1="要編集",A1="未入力",LEFT(A1,5)="ERROR")</formula>
    </cfRule>
    <cfRule type="expression" dxfId="55" priority="2">
      <formula>A1="OK"</formula>
    </cfRule>
    <cfRule type="expression" dxfId="54" priority="3">
      <formula>A1="削除予定"</formula>
    </cfRule>
  </conditionalFormatting>
  <dataValidations count="1">
    <dataValidation type="list" sqref="B2" xr:uid="{00000000-0002-0000-0200-000000000000}">
      <formula1>"はい,いいえ"</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sheetViews>
  <sheetFormatPr defaultRowHeight="14"/>
  <cols>
    <col min="1" max="1" width="8" customWidth="1"/>
    <col min="2" max="2" width="42" customWidth="1"/>
    <col min="3" max="4" width="66" customWidth="1"/>
    <col min="5" max="5" width="16" customWidth="1"/>
  </cols>
  <sheetData>
    <row r="1" spans="1:5" ht="20" customHeight="1">
      <c r="A1" s="8" t="s">
        <v>81</v>
      </c>
      <c r="B1" s="8"/>
      <c r="C1" s="8"/>
      <c r="D1" s="8"/>
      <c r="E1" s="8"/>
    </row>
    <row r="2" spans="1:5" ht="18.649999999999999" customHeight="1">
      <c r="A2" s="3" t="s">
        <v>66</v>
      </c>
      <c r="B2" s="4" t="s">
        <v>67</v>
      </c>
      <c r="C2" s="9" t="s">
        <v>68</v>
      </c>
      <c r="D2" s="9"/>
      <c r="E2" s="9"/>
    </row>
    <row r="3" spans="1:5" ht="18.649999999999999" customHeight="1">
      <c r="A3" s="3" t="s">
        <v>69</v>
      </c>
      <c r="B3" s="4" t="s">
        <v>17</v>
      </c>
      <c r="C3" s="9" t="s">
        <v>70</v>
      </c>
      <c r="D3" s="9"/>
      <c r="E3" s="9"/>
    </row>
    <row r="4" spans="1:5">
      <c r="A4" s="2"/>
      <c r="B4" s="2"/>
      <c r="C4" s="2"/>
      <c r="D4" s="2"/>
      <c r="E4" s="2"/>
    </row>
    <row r="5" spans="1:5" ht="26">
      <c r="A5" s="3" t="s">
        <v>46</v>
      </c>
      <c r="B5" s="2"/>
      <c r="C5" s="2" t="str">
        <f>IF(B2="いいえ","削除予定",IF(COUNTIF(E10:E17,"要編集")+COUNTIF(E10:E17,"未入力")&gt;0,"ERROR: 要編集あり","OK"))</f>
        <v>ERROR: 要編集あり</v>
      </c>
      <c r="D5" s="2"/>
      <c r="E5" s="2"/>
    </row>
    <row r="6" spans="1:5">
      <c r="A6" s="2"/>
      <c r="B6" s="2"/>
      <c r="C6" s="2"/>
      <c r="D6" s="2"/>
      <c r="E6" s="2"/>
    </row>
    <row r="7" spans="1:5" ht="32" customHeight="1">
      <c r="A7" s="10" t="s">
        <v>82</v>
      </c>
      <c r="B7" s="10"/>
      <c r="C7" s="10"/>
      <c r="D7" s="10"/>
      <c r="E7" s="10"/>
    </row>
    <row r="8" spans="1:5">
      <c r="A8" s="2"/>
      <c r="B8" s="2"/>
      <c r="C8" s="2"/>
      <c r="D8" s="2"/>
      <c r="E8" s="2"/>
    </row>
    <row r="9" spans="1:5" ht="20" customHeight="1">
      <c r="A9" s="1" t="s">
        <v>2</v>
      </c>
      <c r="B9" s="1" t="s">
        <v>83</v>
      </c>
      <c r="C9" s="1" t="s">
        <v>84</v>
      </c>
      <c r="D9" s="1" t="s">
        <v>85</v>
      </c>
      <c r="E9" s="1" t="s">
        <v>49</v>
      </c>
    </row>
    <row r="10" spans="1:5" ht="45.4" customHeight="1">
      <c r="A10" s="2">
        <v>1</v>
      </c>
      <c r="B10" s="4" t="s">
        <v>86</v>
      </c>
      <c r="C10" s="4" t="s">
        <v>87</v>
      </c>
      <c r="D10" s="4" t="s">
        <v>88</v>
      </c>
      <c r="E10" s="2" t="str">
        <f>IF($B$2="いいえ","削除予定",IF(AND(B10="",C10="",D10=""),"削除予定",IF(AND(B10="人工知能における機械学習アルゴリズムの最適化",C10="当研究では、機械学習アルゴリズムの精度と効率を向上させる方法を探求しています。特に、データの前処理、特徴選択、モデル構築の各ステップでの最新の技術を組み合わせることに重点を置いています。",D10="この研究により、さまざまな分野での応用が可能なより高度な人工知能システムの開発を目指しています。例えば、医療診断、金融市場分析、自動運転車の技術など、社会に大きな影響を与える分野に貢献することを期待しています。"),"要編集",IF(OR(B10="",AND(C10="",D10="")),"未入力","OK"))))</f>
        <v>要編集</v>
      </c>
    </row>
    <row r="11" spans="1:5" ht="45.4" customHeight="1">
      <c r="A11" s="2">
        <v>2</v>
      </c>
      <c r="B11" s="4" t="s">
        <v>89</v>
      </c>
      <c r="C11" s="4" t="s">
        <v>90</v>
      </c>
      <c r="D11" s="4"/>
      <c r="E11" s="2" t="str">
        <f>IF($B$2="いいえ","削除予定",IF(AND(B11="",C11="",D11=""),"削除予定",IF(AND(B11="再生可能エネルギー源の開発と利用",C11="本研究では、太陽光、風力、地熱などの再生可能エネルギー源の効率的な活用方法を探求しています。これには、エネルギー変換の効率向上やコスト削減の技術開発が含まれます。 また、再生可能エネルギーの普及を促進するための社会的、経済的な戦略についても研究しています。持続可能なエネルギーシステムの構築に向けて、政策提言や公共啓発活動にも力を入れています。",D11=""),"要編集",IF(OR(B11="",AND(C11="",D11="")),"未入力","OK"))))</f>
        <v>要編集</v>
      </c>
    </row>
    <row r="12" spans="1:5" ht="45.4" customHeight="1">
      <c r="A12" s="2">
        <v>3</v>
      </c>
      <c r="B12" s="4" t="s">
        <v>91</v>
      </c>
      <c r="C12" s="4" t="s">
        <v>92</v>
      </c>
      <c r="D12" s="4"/>
      <c r="E12" s="2" t="str">
        <f>IF($B$2="いいえ","削除予定",IF(AND(B12="",C12="",D12=""),"削除予定",IF(AND(B12="ヒトの健康と疾患に関するバイオテクノロジーの応用",C12="当研究室では、遺伝子編集技術や幹細胞療法など、最先端のバイオテクノロジーを用いた疾患治療法の開発に取り組んでいます。特に、がんや遺伝性疾患の治療に焦点を当てています。 さらに、これらの治療法の臨床応用に向けて、安全性と効果の評価を行っています。患者のQOL向上に貢献するとともに、新しい医療技術の普及に向けた研究も進めています。",D12=""),"要編集",IF(OR(B12="",AND(C12="",D12="")),"未入力","OK"))))</f>
        <v>要編集</v>
      </c>
    </row>
    <row r="13" spans="1:5" ht="24" customHeight="1">
      <c r="A13" s="2">
        <v>4</v>
      </c>
      <c r="B13" s="4"/>
      <c r="C13" s="4"/>
      <c r="D13" s="4"/>
      <c r="E13" s="2" t="str">
        <f>IF($B$2="いいえ","削除予定",IF(AND(B13="",C13="",D13=""),"削除予定",IF(OR(B13="",AND(C13="",D13="")),"未入力","OK")))</f>
        <v>削除予定</v>
      </c>
    </row>
    <row r="14" spans="1:5" ht="24" customHeight="1">
      <c r="A14" s="2">
        <v>5</v>
      </c>
      <c r="B14" s="4"/>
      <c r="C14" s="4"/>
      <c r="D14" s="4"/>
      <c r="E14" s="2" t="str">
        <f>IF($B$2="いいえ","削除予定",IF(AND(B14="",C14="",D14=""),"削除予定",IF(OR(B14="",AND(C14="",D14="")),"未入力","OK")))</f>
        <v>削除予定</v>
      </c>
    </row>
    <row r="15" spans="1:5" ht="24" customHeight="1">
      <c r="A15" s="2">
        <v>6</v>
      </c>
      <c r="B15" s="4"/>
      <c r="C15" s="4"/>
      <c r="D15" s="4"/>
      <c r="E15" s="2" t="str">
        <f>IF($B$2="いいえ","削除予定",IF(AND(B15="",C15="",D15=""),"削除予定",IF(OR(B15="",AND(C15="",D15="")),"未入力","OK")))</f>
        <v>削除予定</v>
      </c>
    </row>
    <row r="16" spans="1:5" ht="24" customHeight="1">
      <c r="A16" s="2">
        <v>7</v>
      </c>
      <c r="B16" s="4"/>
      <c r="C16" s="4"/>
      <c r="D16" s="4"/>
      <c r="E16" s="2" t="str">
        <f>IF($B$2="いいえ","削除予定",IF(AND(B16="",C16="",D16=""),"削除予定",IF(OR(B16="",AND(C16="",D16="")),"未入力","OK")))</f>
        <v>削除予定</v>
      </c>
    </row>
    <row r="17" spans="1:5" ht="24" customHeight="1">
      <c r="A17" s="2">
        <v>8</v>
      </c>
      <c r="B17" s="4"/>
      <c r="C17" s="4"/>
      <c r="D17" s="4"/>
      <c r="E17" s="2" t="str">
        <f>IF($B$2="いいえ","削除予定",IF(AND(B17="",C17="",D17=""),"削除予定",IF(OR(B17="",AND(C17="",D17="")),"未入力","OK")))</f>
        <v>削除予定</v>
      </c>
    </row>
  </sheetData>
  <mergeCells count="4">
    <mergeCell ref="A1:E1"/>
    <mergeCell ref="C2:E2"/>
    <mergeCell ref="C3:E3"/>
    <mergeCell ref="A7:E7"/>
  </mergeCells>
  <phoneticPr fontId="11"/>
  <conditionalFormatting sqref="C5">
    <cfRule type="expression" dxfId="53" priority="4">
      <formula>OR(A1="要編集",A1="未入力",LEFT(A1,5)="ERROR")</formula>
    </cfRule>
    <cfRule type="expression" dxfId="52" priority="5">
      <formula>A1="OK"</formula>
    </cfRule>
    <cfRule type="expression" dxfId="51" priority="6">
      <formula>A1="削除予定"</formula>
    </cfRule>
  </conditionalFormatting>
  <conditionalFormatting sqref="E10:E17">
    <cfRule type="expression" dxfId="50" priority="1">
      <formula>OR(A1="要編集",A1="未入力",LEFT(A1,5)="ERROR")</formula>
    </cfRule>
    <cfRule type="expression" dxfId="49" priority="2">
      <formula>A1="OK"</formula>
    </cfRule>
    <cfRule type="expression" dxfId="48" priority="3">
      <formula>A1="削除予定"</formula>
    </cfRule>
  </conditionalFormatting>
  <dataValidations count="1">
    <dataValidation type="list" sqref="B2" xr:uid="{00000000-0002-0000-0300-000000000000}">
      <formula1>"はい,いいえ"</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heetViews>
  <sheetFormatPr defaultRowHeight="14"/>
  <cols>
    <col min="1" max="1" width="8" customWidth="1"/>
    <col min="2" max="2" width="44" customWidth="1"/>
    <col min="3" max="3" width="86" customWidth="1"/>
    <col min="4" max="4" width="16" customWidth="1"/>
  </cols>
  <sheetData>
    <row r="1" spans="1:4" ht="20" customHeight="1">
      <c r="A1" s="8" t="s">
        <v>93</v>
      </c>
      <c r="B1" s="8"/>
      <c r="C1" s="8"/>
      <c r="D1" s="8"/>
    </row>
    <row r="2" spans="1:4" ht="18.649999999999999" customHeight="1">
      <c r="A2" s="3" t="s">
        <v>66</v>
      </c>
      <c r="B2" s="4" t="s">
        <v>67</v>
      </c>
      <c r="C2" s="9" t="s">
        <v>68</v>
      </c>
      <c r="D2" s="9"/>
    </row>
    <row r="3" spans="1:4" ht="18.649999999999999" customHeight="1">
      <c r="A3" s="3" t="s">
        <v>69</v>
      </c>
      <c r="B3" s="4" t="s">
        <v>21</v>
      </c>
      <c r="C3" s="9" t="s">
        <v>70</v>
      </c>
      <c r="D3" s="9"/>
    </row>
    <row r="4" spans="1:4">
      <c r="A4" s="2"/>
      <c r="B4" s="2"/>
      <c r="C4" s="2"/>
      <c r="D4" s="2"/>
    </row>
    <row r="5" spans="1:4" ht="26">
      <c r="A5" s="3" t="s">
        <v>46</v>
      </c>
      <c r="B5" s="2"/>
      <c r="C5" s="2" t="str">
        <f>IF(B2="いいえ","削除予定",IF(COUNTIF(D10:D15,"要編集")+COUNTIF(D10:D15,"未入力")&gt;0,"ERROR: 要編集あり","OK"))</f>
        <v>ERROR: 要編集あり</v>
      </c>
      <c r="D5" s="2"/>
    </row>
    <row r="6" spans="1:4">
      <c r="A6" s="2"/>
      <c r="B6" s="2"/>
      <c r="C6" s="2"/>
      <c r="D6" s="2"/>
    </row>
    <row r="7" spans="1:4" ht="32" customHeight="1">
      <c r="A7" s="10" t="s">
        <v>94</v>
      </c>
      <c r="B7" s="10"/>
      <c r="C7" s="10"/>
      <c r="D7" s="10"/>
    </row>
    <row r="8" spans="1:4">
      <c r="A8" s="2"/>
      <c r="B8" s="2"/>
      <c r="C8" s="2"/>
      <c r="D8" s="2"/>
    </row>
    <row r="9" spans="1:4" ht="20" customHeight="1">
      <c r="A9" s="1" t="s">
        <v>2</v>
      </c>
      <c r="B9" s="1" t="s">
        <v>95</v>
      </c>
      <c r="C9" s="1" t="s">
        <v>73</v>
      </c>
      <c r="D9" s="1" t="s">
        <v>49</v>
      </c>
    </row>
    <row r="10" spans="1:4" ht="36" customHeight="1">
      <c r="A10" s="2">
        <v>1</v>
      </c>
      <c r="B10" s="4" t="s">
        <v>96</v>
      </c>
      <c r="C10" s="4" t="s">
        <v>97</v>
      </c>
      <c r="D10" s="2" t="str">
        <f>IF($B$2="いいえ","削除予定",IF(AND(B10="",C10=""),"削除予定",IF(AND(B10="知識の探求と社会への貢献",C10="私たちの研究室は、最先端の科学技術を追求し、その成果を社会に還元することをミッションとしています。学術的な探究心と実社会への応用を通じて、世界に貢献することを目指します。"),"要編集",IF(OR(B10="",C10=""),"未入力","OK"))))</f>
        <v>要編集</v>
      </c>
    </row>
    <row r="11" spans="1:4" ht="36" customHeight="1">
      <c r="A11" s="2">
        <v>2</v>
      </c>
      <c r="B11" s="4" t="s">
        <v>98</v>
      </c>
      <c r="C11" s="4" t="s">
        <v>99</v>
      </c>
      <c r="D11" s="2" t="str">
        <f>IF($B$2="いいえ","削除予定",IF(AND(B11="",C11=""),"削除予定",IF(AND(B11="革新と協力の精神",C11="私たちは、研究の革新を目指し、異なる分野や文化の専門家と積極的に協力することを重視します。多様なアイデアと視点を統合することで、新しい発見とソリューションを生み出すことを目標としています。"),"要編集",IF(OR(B11="",C11=""),"未入力","OK"))))</f>
        <v>要編集</v>
      </c>
    </row>
    <row r="12" spans="1:4" ht="22.65" customHeight="1">
      <c r="A12" s="2">
        <v>3</v>
      </c>
      <c r="B12" s="4"/>
      <c r="C12" s="4"/>
      <c r="D12" s="2" t="str">
        <f>IF($B$2="いいえ","削除予定",IF(AND(B12="",C12=""),"削除予定",IF(OR(B12="",C12=""),"未入力","OK")))</f>
        <v>削除予定</v>
      </c>
    </row>
    <row r="13" spans="1:4" ht="22.65" customHeight="1">
      <c r="A13" s="2">
        <v>4</v>
      </c>
      <c r="B13" s="4"/>
      <c r="C13" s="4"/>
      <c r="D13" s="2" t="str">
        <f>IF($B$2="いいえ","削除予定",IF(AND(B13="",C13=""),"削除予定",IF(OR(B13="",C13=""),"未入力","OK")))</f>
        <v>削除予定</v>
      </c>
    </row>
    <row r="14" spans="1:4" ht="22.65" customHeight="1">
      <c r="A14" s="2">
        <v>5</v>
      </c>
      <c r="B14" s="4"/>
      <c r="C14" s="4"/>
      <c r="D14" s="2" t="str">
        <f>IF($B$2="いいえ","削除予定",IF(AND(B14="",C14=""),"削除予定",IF(OR(B14="",C14=""),"未入力","OK")))</f>
        <v>削除予定</v>
      </c>
    </row>
    <row r="15" spans="1:4" ht="22.65" customHeight="1">
      <c r="A15" s="2">
        <v>6</v>
      </c>
      <c r="B15" s="4"/>
      <c r="C15" s="4"/>
      <c r="D15" s="2" t="str">
        <f>IF($B$2="いいえ","削除予定",IF(AND(B15="",C15=""),"削除予定",IF(OR(B15="",C15=""),"未入力","OK")))</f>
        <v>削除予定</v>
      </c>
    </row>
  </sheetData>
  <mergeCells count="4">
    <mergeCell ref="A1:D1"/>
    <mergeCell ref="C2:D2"/>
    <mergeCell ref="C3:D3"/>
    <mergeCell ref="A7:D7"/>
  </mergeCells>
  <phoneticPr fontId="11"/>
  <conditionalFormatting sqref="C5">
    <cfRule type="expression" dxfId="47" priority="4">
      <formula>OR(A1="要編集",A1="未入力",LEFT(A1,5)="ERROR")</formula>
    </cfRule>
    <cfRule type="expression" dxfId="46" priority="5">
      <formula>A1="OK"</formula>
    </cfRule>
    <cfRule type="expression" dxfId="45" priority="6">
      <formula>A1="削除予定"</formula>
    </cfRule>
  </conditionalFormatting>
  <conditionalFormatting sqref="D10:D15">
    <cfRule type="expression" dxfId="44" priority="1">
      <formula>OR(A1="要編集",A1="未入力",LEFT(A1,5)="ERROR")</formula>
    </cfRule>
    <cfRule type="expression" dxfId="43" priority="2">
      <formula>A1="OK"</formula>
    </cfRule>
    <cfRule type="expression" dxfId="42" priority="3">
      <formula>A1="削除予定"</formula>
    </cfRule>
  </conditionalFormatting>
  <dataValidations count="1">
    <dataValidation type="list" sqref="B2" xr:uid="{00000000-0002-0000-0400-000000000000}">
      <formula1>"はい,いいえ"</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9"/>
  <sheetViews>
    <sheetView workbookViewId="0"/>
  </sheetViews>
  <sheetFormatPr defaultRowHeight="14"/>
  <cols>
    <col min="1" max="1" width="8" customWidth="1"/>
    <col min="2" max="2" width="25" customWidth="1"/>
    <col min="3" max="3" width="18" customWidth="1"/>
    <col min="4" max="4" width="68" customWidth="1"/>
    <col min="5" max="5" width="16" customWidth="1"/>
  </cols>
  <sheetData>
    <row r="1" spans="1:5" ht="20" customHeight="1">
      <c r="A1" s="8" t="s">
        <v>100</v>
      </c>
      <c r="B1" s="8"/>
      <c r="C1" s="8"/>
      <c r="D1" s="8"/>
      <c r="E1" s="8"/>
    </row>
    <row r="2" spans="1:5" ht="18.649999999999999" customHeight="1">
      <c r="A2" s="3" t="s">
        <v>66</v>
      </c>
      <c r="B2" s="4" t="s">
        <v>67</v>
      </c>
      <c r="C2" s="9" t="s">
        <v>68</v>
      </c>
      <c r="D2" s="9"/>
      <c r="E2" s="9"/>
    </row>
    <row r="3" spans="1:5" ht="18.649999999999999" customHeight="1">
      <c r="A3" s="3" t="s">
        <v>69</v>
      </c>
      <c r="B3" s="4" t="s">
        <v>25</v>
      </c>
      <c r="C3" s="9" t="s">
        <v>70</v>
      </c>
      <c r="D3" s="9"/>
      <c r="E3" s="9"/>
    </row>
    <row r="4" spans="1:5">
      <c r="A4" s="2"/>
      <c r="B4" s="2"/>
      <c r="C4" s="2"/>
      <c r="D4" s="2"/>
      <c r="E4" s="2"/>
    </row>
    <row r="5" spans="1:5" ht="26">
      <c r="A5" s="3" t="s">
        <v>46</v>
      </c>
      <c r="B5" s="2"/>
      <c r="C5" s="2" t="str">
        <f>IF(B2="いいえ","削除予定",IF(COUNTIF(E10:E39,"要編集")+COUNTIF(E10:E39,"未入力")&gt;0,"ERROR: 要編集あり","OK"))</f>
        <v>ERROR: 要編集あり</v>
      </c>
      <c r="D5" s="2"/>
      <c r="E5" s="2"/>
    </row>
    <row r="6" spans="1:5">
      <c r="A6" s="2"/>
      <c r="B6" s="2"/>
      <c r="C6" s="2"/>
      <c r="D6" s="2"/>
      <c r="E6" s="2"/>
    </row>
    <row r="7" spans="1:5" ht="32" customHeight="1">
      <c r="A7" s="10" t="s">
        <v>101</v>
      </c>
      <c r="B7" s="10"/>
      <c r="C7" s="10"/>
      <c r="D7" s="10"/>
      <c r="E7" s="10"/>
    </row>
    <row r="8" spans="1:5">
      <c r="A8" s="2"/>
      <c r="B8" s="2"/>
      <c r="C8" s="2"/>
      <c r="D8" s="2"/>
      <c r="E8" s="2"/>
    </row>
    <row r="9" spans="1:5" ht="20" customHeight="1">
      <c r="A9" s="1" t="s">
        <v>2</v>
      </c>
      <c r="B9" s="1" t="s">
        <v>102</v>
      </c>
      <c r="C9" s="1" t="s">
        <v>103</v>
      </c>
      <c r="D9" s="1" t="s">
        <v>104</v>
      </c>
      <c r="E9" s="1" t="s">
        <v>49</v>
      </c>
    </row>
    <row r="10" spans="1:5" ht="20" customHeight="1">
      <c r="A10" s="2">
        <v>1</v>
      </c>
      <c r="B10" s="4" t="s">
        <v>105</v>
      </c>
      <c r="C10" s="4"/>
      <c r="D10" s="4" t="s">
        <v>106</v>
      </c>
      <c r="E10" s="2" t="str">
        <f>IF($B$2="いいえ","削除予定",IF(AND(B10="",C10="",D10=""),"削除予定",IF(AND(B10="博士後期課程",C10="",D10="佐藤　明子 (3年)"),"要編集",IF(OR(B10="",D10=""),"未入力","OK"))))</f>
        <v>要編集</v>
      </c>
    </row>
    <row r="11" spans="1:5" ht="20" customHeight="1">
      <c r="A11" s="2">
        <v>2</v>
      </c>
      <c r="B11" s="4" t="s">
        <v>105</v>
      </c>
      <c r="C11" s="4"/>
      <c r="D11" s="4" t="s">
        <v>107</v>
      </c>
      <c r="E11" s="2" t="str">
        <f>IF($B$2="いいえ","削除予定",IF(AND(B11="",C11="",D11=""),"削除予定",IF(AND(B11="博士後期課程",C11="",D11="田中　健一 (2年)"),"要編集",IF(OR(B11="",D11=""),"未入力","OK"))))</f>
        <v>要編集</v>
      </c>
    </row>
    <row r="12" spans="1:5" ht="20" customHeight="1">
      <c r="A12" s="2">
        <v>3</v>
      </c>
      <c r="B12" s="4" t="s">
        <v>105</v>
      </c>
      <c r="C12" s="4"/>
      <c r="D12" s="4" t="s">
        <v>108</v>
      </c>
      <c r="E12" s="2" t="str">
        <f>IF($B$2="いいえ","削除予定",IF(AND(B12="",C12="",D12=""),"削除予定",IF(AND(B12="博士後期課程",C12="",D12="鈴木　雅人 (1年)"),"要編集",IF(OR(B12="",D12=""),"未入力","OK"))))</f>
        <v>要編集</v>
      </c>
    </row>
    <row r="13" spans="1:5" ht="20" customHeight="1">
      <c r="A13" s="2">
        <v>4</v>
      </c>
      <c r="B13" s="4" t="s">
        <v>109</v>
      </c>
      <c r="C13" s="4"/>
      <c r="D13" s="4" t="s">
        <v>110</v>
      </c>
      <c r="E13" s="2" t="str">
        <f>IF($B$2="いいえ","削除予定",IF(AND(B13="",C13="",D13=""),"削除予定",IF(AND(B13="博士前期課程",C13="",D13="伊藤　美咲 (2年)"),"要編集",IF(OR(B13="",D13=""),"未入力","OK"))))</f>
        <v>要編集</v>
      </c>
    </row>
    <row r="14" spans="1:5" ht="20" customHeight="1">
      <c r="A14" s="2">
        <v>5</v>
      </c>
      <c r="B14" s="4" t="s">
        <v>109</v>
      </c>
      <c r="C14" s="4"/>
      <c r="D14" s="4" t="s">
        <v>111</v>
      </c>
      <c r="E14" s="2" t="str">
        <f>IF($B$2="いいえ","削除予定",IF(AND(B14="",C14="",D14=""),"削除予定",IF(AND(B14="博士前期課程",C14="",D14="中村　拓哉 (1年)"),"要編集",IF(OR(B14="",D14=""),"未入力","OK"))))</f>
        <v>要編集</v>
      </c>
    </row>
    <row r="15" spans="1:5" ht="20" customHeight="1">
      <c r="A15" s="2">
        <v>6</v>
      </c>
      <c r="B15" s="4" t="s">
        <v>112</v>
      </c>
      <c r="C15" s="4" t="s">
        <v>113</v>
      </c>
      <c r="D15" s="4" t="s">
        <v>114</v>
      </c>
      <c r="E15" s="2" t="str">
        <f>IF($B$2="いいえ","削除予定",IF(AND(B15="",C15="",D15=""),"削除予定",IF(AND(B15="OB / OG",C15="1978年度",D15="山田　花 (芦田先端技研株式会社)"),"要編集",IF(OR(B15="",D15=""),"未入力","OK"))))</f>
        <v>要編集</v>
      </c>
    </row>
    <row r="16" spans="1:5" ht="20" customHeight="1">
      <c r="A16" s="2">
        <v>7</v>
      </c>
      <c r="B16" s="4" t="s">
        <v>112</v>
      </c>
      <c r="C16" s="4" t="s">
        <v>113</v>
      </c>
      <c r="D16" s="4" t="s">
        <v>115</v>
      </c>
      <c r="E16" s="2" t="str">
        <f>IF($B$2="いいえ","削除予定",IF(AND(B16="",C16="",D16=""),"削除予定",IF(AND(B16="OB / OG",C16="1978年度",D16="佐々木　一郎 (星明技術研究所　研究員)"),"要編集",IF(OR(B16="",D16=""),"未入力","OK"))))</f>
        <v>要編集</v>
      </c>
    </row>
    <row r="17" spans="1:5" ht="20" customHeight="1">
      <c r="A17" s="2">
        <v>8</v>
      </c>
      <c r="B17" s="4" t="s">
        <v>112</v>
      </c>
      <c r="C17" s="4" t="s">
        <v>116</v>
      </c>
      <c r="D17" s="4" t="s">
        <v>117</v>
      </c>
      <c r="E17" s="2" t="str">
        <f>IF($B$2="いいえ","削除予定",IF(AND(B17="",C17="",D17=""),"削除予定",IF(AND(B17="OB / OG",C17="1979年度",D17="吉田　美香 (帝都大学　研究員)"),"要編集",IF(OR(B17="",D17=""),"未入力","OK"))))</f>
        <v>要編集</v>
      </c>
    </row>
    <row r="18" spans="1:5" ht="20" customHeight="1">
      <c r="A18" s="2">
        <v>9</v>
      </c>
      <c r="B18" s="4" t="s">
        <v>112</v>
      </c>
      <c r="C18" s="4" t="s">
        <v>116</v>
      </c>
      <c r="D18" s="4" t="s">
        <v>118</v>
      </c>
      <c r="E18" s="2" t="str">
        <f>IF($B$2="いいえ","削除予定",IF(AND(B18="",C18="",D18=""),"削除予定",IF(AND(B18="OB / OG",C18="1979年度",D18="鈴木　陽一 (株式会社藍原エコエネルギー研究所)"),"要編集",IF(OR(B18="",D18=""),"未入力","OK"))))</f>
        <v>要編集</v>
      </c>
    </row>
    <row r="19" spans="1:5" ht="20" customHeight="1">
      <c r="A19" s="2">
        <v>10</v>
      </c>
      <c r="B19" s="4"/>
      <c r="C19" s="4"/>
      <c r="D19" s="4"/>
      <c r="E19" s="2" t="str">
        <f t="shared" ref="E19:E39" si="0">IF($B$2="いいえ","削除予定",IF(AND(B19="",C19="",D19=""),"削除予定",IF(OR(B19="",D19=""),"未入力","OK")))</f>
        <v>削除予定</v>
      </c>
    </row>
    <row r="20" spans="1:5" ht="20" customHeight="1">
      <c r="A20" s="2">
        <v>11</v>
      </c>
      <c r="B20" s="4"/>
      <c r="C20" s="4"/>
      <c r="D20" s="4"/>
      <c r="E20" s="2" t="str">
        <f t="shared" si="0"/>
        <v>削除予定</v>
      </c>
    </row>
    <row r="21" spans="1:5" ht="20" customHeight="1">
      <c r="A21" s="2">
        <v>12</v>
      </c>
      <c r="B21" s="4"/>
      <c r="C21" s="4"/>
      <c r="D21" s="4"/>
      <c r="E21" s="2" t="str">
        <f t="shared" si="0"/>
        <v>削除予定</v>
      </c>
    </row>
    <row r="22" spans="1:5" ht="20" customHeight="1">
      <c r="A22" s="2">
        <v>13</v>
      </c>
      <c r="B22" s="4"/>
      <c r="C22" s="4"/>
      <c r="D22" s="4"/>
      <c r="E22" s="2" t="str">
        <f t="shared" si="0"/>
        <v>削除予定</v>
      </c>
    </row>
    <row r="23" spans="1:5" ht="20" customHeight="1">
      <c r="A23" s="2">
        <v>14</v>
      </c>
      <c r="B23" s="4"/>
      <c r="C23" s="4"/>
      <c r="D23" s="4"/>
      <c r="E23" s="2" t="str">
        <f t="shared" si="0"/>
        <v>削除予定</v>
      </c>
    </row>
    <row r="24" spans="1:5" ht="20" customHeight="1">
      <c r="A24" s="2">
        <v>15</v>
      </c>
      <c r="B24" s="4"/>
      <c r="C24" s="4"/>
      <c r="D24" s="4"/>
      <c r="E24" s="2" t="str">
        <f t="shared" si="0"/>
        <v>削除予定</v>
      </c>
    </row>
    <row r="25" spans="1:5" ht="20" customHeight="1">
      <c r="A25" s="2">
        <v>16</v>
      </c>
      <c r="B25" s="4"/>
      <c r="C25" s="4"/>
      <c r="D25" s="4"/>
      <c r="E25" s="2" t="str">
        <f t="shared" si="0"/>
        <v>削除予定</v>
      </c>
    </row>
    <row r="26" spans="1:5" ht="20" customHeight="1">
      <c r="A26" s="2">
        <v>17</v>
      </c>
      <c r="B26" s="4"/>
      <c r="C26" s="4"/>
      <c r="D26" s="4"/>
      <c r="E26" s="2" t="str">
        <f t="shared" si="0"/>
        <v>削除予定</v>
      </c>
    </row>
    <row r="27" spans="1:5" ht="20" customHeight="1">
      <c r="A27" s="2">
        <v>18</v>
      </c>
      <c r="B27" s="4"/>
      <c r="C27" s="4"/>
      <c r="D27" s="4"/>
      <c r="E27" s="2" t="str">
        <f t="shared" si="0"/>
        <v>削除予定</v>
      </c>
    </row>
    <row r="28" spans="1:5" ht="20" customHeight="1">
      <c r="A28" s="2">
        <v>19</v>
      </c>
      <c r="B28" s="4"/>
      <c r="C28" s="4"/>
      <c r="D28" s="4"/>
      <c r="E28" s="2" t="str">
        <f t="shared" si="0"/>
        <v>削除予定</v>
      </c>
    </row>
    <row r="29" spans="1:5" ht="20" customHeight="1">
      <c r="A29" s="2">
        <v>20</v>
      </c>
      <c r="B29" s="4"/>
      <c r="C29" s="4"/>
      <c r="D29" s="4"/>
      <c r="E29" s="2" t="str">
        <f t="shared" si="0"/>
        <v>削除予定</v>
      </c>
    </row>
    <row r="30" spans="1:5" ht="20" customHeight="1">
      <c r="A30" s="2">
        <v>21</v>
      </c>
      <c r="B30" s="4"/>
      <c r="C30" s="4"/>
      <c r="D30" s="4"/>
      <c r="E30" s="2" t="str">
        <f t="shared" si="0"/>
        <v>削除予定</v>
      </c>
    </row>
    <row r="31" spans="1:5" ht="20" customHeight="1">
      <c r="A31" s="2">
        <v>22</v>
      </c>
      <c r="B31" s="4"/>
      <c r="C31" s="4"/>
      <c r="D31" s="4"/>
      <c r="E31" s="2" t="str">
        <f t="shared" si="0"/>
        <v>削除予定</v>
      </c>
    </row>
    <row r="32" spans="1:5" ht="20" customHeight="1">
      <c r="A32" s="2">
        <v>23</v>
      </c>
      <c r="B32" s="4"/>
      <c r="C32" s="4"/>
      <c r="D32" s="4"/>
      <c r="E32" s="2" t="str">
        <f t="shared" si="0"/>
        <v>削除予定</v>
      </c>
    </row>
    <row r="33" spans="1:5" ht="20" customHeight="1">
      <c r="A33" s="2">
        <v>24</v>
      </c>
      <c r="B33" s="4"/>
      <c r="C33" s="4"/>
      <c r="D33" s="4"/>
      <c r="E33" s="2" t="str">
        <f t="shared" si="0"/>
        <v>削除予定</v>
      </c>
    </row>
    <row r="34" spans="1:5" ht="20" customHeight="1">
      <c r="A34" s="2">
        <v>25</v>
      </c>
      <c r="B34" s="4"/>
      <c r="C34" s="4"/>
      <c r="D34" s="4"/>
      <c r="E34" s="2" t="str">
        <f t="shared" si="0"/>
        <v>削除予定</v>
      </c>
    </row>
    <row r="35" spans="1:5" ht="20" customHeight="1">
      <c r="A35" s="2">
        <v>26</v>
      </c>
      <c r="B35" s="4"/>
      <c r="C35" s="4"/>
      <c r="D35" s="4"/>
      <c r="E35" s="2" t="str">
        <f t="shared" si="0"/>
        <v>削除予定</v>
      </c>
    </row>
    <row r="36" spans="1:5" ht="20" customHeight="1">
      <c r="A36" s="2">
        <v>27</v>
      </c>
      <c r="B36" s="4"/>
      <c r="C36" s="4"/>
      <c r="D36" s="4"/>
      <c r="E36" s="2" t="str">
        <f t="shared" si="0"/>
        <v>削除予定</v>
      </c>
    </row>
    <row r="37" spans="1:5" ht="20" customHeight="1">
      <c r="A37" s="2">
        <v>28</v>
      </c>
      <c r="B37" s="4"/>
      <c r="C37" s="4"/>
      <c r="D37" s="4"/>
      <c r="E37" s="2" t="str">
        <f t="shared" si="0"/>
        <v>削除予定</v>
      </c>
    </row>
    <row r="38" spans="1:5" ht="20" customHeight="1">
      <c r="A38" s="2">
        <v>29</v>
      </c>
      <c r="B38" s="4"/>
      <c r="C38" s="4"/>
      <c r="D38" s="4"/>
      <c r="E38" s="2" t="str">
        <f t="shared" si="0"/>
        <v>削除予定</v>
      </c>
    </row>
    <row r="39" spans="1:5" ht="20" customHeight="1">
      <c r="A39" s="2">
        <v>30</v>
      </c>
      <c r="B39" s="4"/>
      <c r="C39" s="4"/>
      <c r="D39" s="4"/>
      <c r="E39" s="2" t="str">
        <f t="shared" si="0"/>
        <v>削除予定</v>
      </c>
    </row>
  </sheetData>
  <mergeCells count="4">
    <mergeCell ref="A1:E1"/>
    <mergeCell ref="C2:E2"/>
    <mergeCell ref="C3:E3"/>
    <mergeCell ref="A7:E7"/>
  </mergeCells>
  <phoneticPr fontId="11"/>
  <conditionalFormatting sqref="C5">
    <cfRule type="expression" dxfId="41" priority="4">
      <formula>OR(A1="要編集",A1="未入力",LEFT(A1,5)="ERROR")</formula>
    </cfRule>
    <cfRule type="expression" dxfId="40" priority="5">
      <formula>A1="OK"</formula>
    </cfRule>
    <cfRule type="expression" dxfId="39" priority="6">
      <formula>A1="削除予定"</formula>
    </cfRule>
  </conditionalFormatting>
  <conditionalFormatting sqref="E10:E39">
    <cfRule type="expression" dxfId="38" priority="1">
      <formula>OR(A1="要編集",A1="未入力",LEFT(A1,5)="ERROR")</formula>
    </cfRule>
    <cfRule type="expression" dxfId="37" priority="2">
      <formula>A1="OK"</formula>
    </cfRule>
    <cfRule type="expression" dxfId="36" priority="3">
      <formula>A1="削除予定"</formula>
    </cfRule>
  </conditionalFormatting>
  <dataValidations count="1">
    <dataValidation type="list" sqref="B2" xr:uid="{00000000-0002-0000-0500-000000000000}">
      <formula1>"はい,いいえ"</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3"/>
  <sheetViews>
    <sheetView workbookViewId="0"/>
  </sheetViews>
  <sheetFormatPr defaultRowHeight="14"/>
  <cols>
    <col min="1" max="1" width="10" customWidth="1"/>
    <col min="2" max="2" width="26" customWidth="1"/>
    <col min="3" max="3" width="18" customWidth="1"/>
    <col min="4" max="4" width="70" customWidth="1"/>
    <col min="5" max="5" width="16" customWidth="1"/>
  </cols>
  <sheetData>
    <row r="1" spans="1:5" ht="20" customHeight="1">
      <c r="A1" s="8" t="s">
        <v>119</v>
      </c>
      <c r="B1" s="8"/>
      <c r="C1" s="8"/>
      <c r="D1" s="8"/>
      <c r="E1" s="8"/>
    </row>
    <row r="2" spans="1:5" ht="18.649999999999999" customHeight="1">
      <c r="A2" s="3" t="s">
        <v>66</v>
      </c>
      <c r="B2" s="4" t="s">
        <v>67</v>
      </c>
      <c r="C2" s="9" t="s">
        <v>68</v>
      </c>
      <c r="D2" s="9"/>
      <c r="E2" s="9"/>
    </row>
    <row r="3" spans="1:5" ht="18.649999999999999" customHeight="1">
      <c r="A3" s="3" t="s">
        <v>69</v>
      </c>
      <c r="B3" s="4" t="s">
        <v>29</v>
      </c>
      <c r="C3" s="9" t="s">
        <v>70</v>
      </c>
      <c r="D3" s="9"/>
      <c r="E3" s="9"/>
    </row>
    <row r="4" spans="1:5">
      <c r="A4" s="2"/>
      <c r="B4" s="2"/>
      <c r="C4" s="2"/>
      <c r="D4" s="2"/>
      <c r="E4" s="2"/>
    </row>
    <row r="5" spans="1:5" ht="26">
      <c r="A5" s="3" t="s">
        <v>46</v>
      </c>
      <c r="B5" s="2"/>
      <c r="C5" s="2" t="str">
        <f>IF(B2="いいえ","削除予定",IF(COUNTIF(C10:C12,"要編集")+COUNTIF(C10:C12,"未入力")+COUNTIF(C16:C20,"要編集")+COUNTIF(C16:C20,"未入力")+COUNTIF(E24:E53,"要編集")+COUNTIF(E24:E53,"未入力")&gt;0,"ERROR: 要編集あり","OK"))</f>
        <v>ERROR: 要編集あり</v>
      </c>
      <c r="D5" s="2"/>
      <c r="E5" s="2"/>
    </row>
    <row r="6" spans="1:5">
      <c r="A6" s="2"/>
      <c r="B6" s="2"/>
      <c r="C6" s="2"/>
      <c r="D6" s="2"/>
      <c r="E6" s="2"/>
    </row>
    <row r="7" spans="1:5" ht="32" customHeight="1">
      <c r="A7" s="10" t="s">
        <v>120</v>
      </c>
      <c r="B7" s="10"/>
      <c r="C7" s="10"/>
      <c r="D7" s="10"/>
      <c r="E7" s="10"/>
    </row>
    <row r="8" spans="1:5">
      <c r="A8" s="2"/>
      <c r="B8" s="2"/>
      <c r="C8" s="2"/>
      <c r="D8" s="2"/>
      <c r="E8" s="2"/>
    </row>
    <row r="9" spans="1:5" ht="20" customHeight="1">
      <c r="A9" s="1" t="s">
        <v>121</v>
      </c>
      <c r="B9" s="1" t="s">
        <v>48</v>
      </c>
      <c r="C9" s="1" t="s">
        <v>49</v>
      </c>
      <c r="D9" s="1" t="s">
        <v>51</v>
      </c>
      <c r="E9" s="2"/>
    </row>
    <row r="10" spans="1:5" ht="20" customHeight="1">
      <c r="A10" s="2" t="s">
        <v>122</v>
      </c>
      <c r="B10" s="4" t="s">
        <v>123</v>
      </c>
      <c r="C10" s="2" t="str">
        <f>IF($B$2="いいえ","削除予定",IF(B10="","未入力",IF(B10="教授","要編集","OK")))</f>
        <v>要編集</v>
      </c>
      <c r="D10" s="2"/>
      <c r="E10" s="2"/>
    </row>
    <row r="11" spans="1:5" ht="20" customHeight="1">
      <c r="A11" s="2" t="s">
        <v>124</v>
      </c>
      <c r="B11" s="4" t="s">
        <v>125</v>
      </c>
      <c r="C11" s="2" t="str">
        <f>IF($B$2="いいえ","削除予定",IF(B11="","未入力",IF(B11="佐藤 太郎","要編集","OK")))</f>
        <v>要編集</v>
      </c>
      <c r="D11" s="2"/>
      <c r="E11" s="2"/>
    </row>
    <row r="12" spans="1:5" ht="20" customHeight="1">
      <c r="A12" s="2" t="s">
        <v>126</v>
      </c>
      <c r="B12" s="4" t="s">
        <v>127</v>
      </c>
      <c r="C12" s="2" t="str">
        <f>IF($B$2="いいえ","削除予定",IF(B12="","未入力",IF(B12="Sato Taro","要編集","OK")))</f>
        <v>要編集</v>
      </c>
      <c r="D12" s="2"/>
      <c r="E12" s="2"/>
    </row>
    <row r="13" spans="1:5">
      <c r="A13" s="2"/>
      <c r="B13" s="2"/>
      <c r="C13" s="2"/>
      <c r="D13" s="2"/>
      <c r="E13" s="2"/>
    </row>
    <row r="14" spans="1:5">
      <c r="A14" s="2"/>
      <c r="B14" s="2"/>
      <c r="C14" s="2"/>
      <c r="D14" s="2"/>
      <c r="E14" s="2"/>
    </row>
    <row r="15" spans="1:5" ht="20" customHeight="1">
      <c r="A15" s="1" t="s">
        <v>128</v>
      </c>
      <c r="B15" s="1" t="s">
        <v>129</v>
      </c>
      <c r="C15" s="1" t="s">
        <v>49</v>
      </c>
      <c r="D15" s="1" t="s">
        <v>51</v>
      </c>
      <c r="E15" s="2"/>
    </row>
    <row r="16" spans="1:5" ht="20" customHeight="1">
      <c r="A16" s="4" t="s">
        <v>130</v>
      </c>
      <c r="B16" s="4"/>
      <c r="C16" s="2" t="str">
        <f>IF($B$2="いいえ","削除予定",IF(AND(A16="",B16=""),"削除予定",IF(A16="帝都大学研究者紹介","要編集",IF(OR(A16="",B16=""),"未入力","OK"))))</f>
        <v>要編集</v>
      </c>
      <c r="D16" s="2" t="s">
        <v>131</v>
      </c>
      <c r="E16" s="2"/>
    </row>
    <row r="17" spans="1:5" ht="20" customHeight="1">
      <c r="A17" s="4" t="s">
        <v>132</v>
      </c>
      <c r="B17" s="4"/>
      <c r="C17" s="2" t="str">
        <f>IF($B$2="いいえ","削除予定",IF(AND(A17="",B17=""),"削除予定",IF(AND(A17="Google Scholar",B17=""),"要編集",IF(OR(A17="",B17=""),"未入力","OK"))))</f>
        <v>要編集</v>
      </c>
      <c r="D17" s="2" t="s">
        <v>131</v>
      </c>
      <c r="E17" s="2"/>
    </row>
    <row r="18" spans="1:5" ht="20" customHeight="1">
      <c r="A18" s="4"/>
      <c r="B18" s="4"/>
      <c r="C18" s="2" t="str">
        <f>IF($B$2="いいえ","削除予定",IF(AND(A18="",B18=""),"削除予定",IF(OR(A18="",B18=""),"未入力","OK")))</f>
        <v>削除予定</v>
      </c>
      <c r="D18" s="2" t="s">
        <v>131</v>
      </c>
      <c r="E18" s="2"/>
    </row>
    <row r="19" spans="1:5" ht="20" customHeight="1">
      <c r="A19" s="4"/>
      <c r="B19" s="4"/>
      <c r="C19" s="2" t="str">
        <f>IF($B$2="いいえ","削除予定",IF(AND(A19="",B19=""),"削除予定",IF(OR(A19="",B19=""),"未入力","OK")))</f>
        <v>削除予定</v>
      </c>
      <c r="D19" s="2" t="s">
        <v>131</v>
      </c>
      <c r="E19" s="2"/>
    </row>
    <row r="20" spans="1:5" ht="20" customHeight="1">
      <c r="A20" s="4"/>
      <c r="B20" s="4"/>
      <c r="C20" s="2" t="str">
        <f>IF($B$2="いいえ","削除予定",IF(AND(A20="",B20=""),"削除予定",IF(OR(A20="",B20=""),"未入力","OK")))</f>
        <v>削除予定</v>
      </c>
      <c r="D20" s="2" t="s">
        <v>131</v>
      </c>
      <c r="E20" s="2"/>
    </row>
    <row r="21" spans="1:5">
      <c r="A21" s="2"/>
      <c r="B21" s="2"/>
      <c r="C21" s="2"/>
      <c r="D21" s="2"/>
      <c r="E21" s="2"/>
    </row>
    <row r="22" spans="1:5">
      <c r="A22" s="2"/>
      <c r="B22" s="2"/>
      <c r="C22" s="2"/>
      <c r="D22" s="2"/>
      <c r="E22" s="2"/>
    </row>
    <row r="23" spans="1:5" ht="20" customHeight="1">
      <c r="A23" s="1" t="s">
        <v>2</v>
      </c>
      <c r="B23" s="1" t="s">
        <v>102</v>
      </c>
      <c r="C23" s="1" t="s">
        <v>133</v>
      </c>
      <c r="D23" s="1" t="s">
        <v>5</v>
      </c>
      <c r="E23" s="1" t="s">
        <v>49</v>
      </c>
    </row>
    <row r="24" spans="1:5" ht="20" customHeight="1">
      <c r="A24" s="2">
        <v>1</v>
      </c>
      <c r="B24" s="4" t="s">
        <v>134</v>
      </c>
      <c r="C24" s="4" t="s">
        <v>135</v>
      </c>
      <c r="D24" s="4" t="s">
        <v>136</v>
      </c>
      <c r="E24" s="2" t="str">
        <f>IF($B$2="いいえ","削除予定",IF(AND(B24="",C24="",D24=""),"削除予定",IF(AND(B24="経歴",C24="2023",D24="帝都大学工学部卒業"),"要編集",IF(OR(B24="",D24=""),"未入力","OK"))))</f>
        <v>要編集</v>
      </c>
    </row>
    <row r="25" spans="1:5" ht="20" customHeight="1">
      <c r="A25" s="2">
        <v>2</v>
      </c>
      <c r="B25" s="4" t="s">
        <v>134</v>
      </c>
      <c r="C25" s="4" t="s">
        <v>135</v>
      </c>
      <c r="D25" s="4" t="s">
        <v>137</v>
      </c>
      <c r="E25" s="2" t="str">
        <f>IF($B$2="いいえ","削除予定",IF(AND(B25="",C25="",D25=""),"削除予定",IF(AND(B25="経歴",C25="2023",D25="帝都大学大学院工学研究科博士前期課程入学"),"要編集",IF(OR(B25="",D25=""),"未入力","OK"))))</f>
        <v>要編集</v>
      </c>
    </row>
    <row r="26" spans="1:5" ht="20" customHeight="1">
      <c r="A26" s="2">
        <v>3</v>
      </c>
      <c r="B26" s="4" t="s">
        <v>134</v>
      </c>
      <c r="C26" s="4" t="s">
        <v>135</v>
      </c>
      <c r="D26" s="4" t="s">
        <v>138</v>
      </c>
      <c r="E26" s="2" t="str">
        <f>IF($B$2="いいえ","削除予定",IF(AND(B26="",C26="",D26=""),"削除予定",IF(AND(B26="経歴",C26="2023",D26="帝都大学大学院工学研究科博士前期課程修了"),"要編集",IF(OR(B26="",D26=""),"未入力","OK"))))</f>
        <v>要編集</v>
      </c>
    </row>
    <row r="27" spans="1:5" ht="20" customHeight="1">
      <c r="A27" s="2">
        <v>4</v>
      </c>
      <c r="B27" s="4" t="s">
        <v>134</v>
      </c>
      <c r="C27" s="4" t="s">
        <v>135</v>
      </c>
      <c r="D27" s="4" t="s">
        <v>139</v>
      </c>
      <c r="E27" s="2" t="str">
        <f>IF($B$2="いいえ","削除予定",IF(AND(B27="",C27="",D27=""),"削除予定",IF(AND(B27="経歴",C27="2023",D27="帝都大学大学院工学研究科博士後期課程入学"),"要編集",IF(OR(B27="",D27=""),"未入力","OK"))))</f>
        <v>要編集</v>
      </c>
    </row>
    <row r="28" spans="1:5" ht="20" customHeight="1">
      <c r="A28" s="2">
        <v>5</v>
      </c>
      <c r="B28" s="4" t="s">
        <v>134</v>
      </c>
      <c r="C28" s="4" t="s">
        <v>135</v>
      </c>
      <c r="D28" s="4" t="s">
        <v>140</v>
      </c>
      <c r="E28" s="2" t="str">
        <f>IF($B$2="いいえ","削除予定",IF(AND(B28="",C28="",D28=""),"削除予定",IF(AND(B28="経歴",C28="2023",D28="帝都大学大学院工学研究科博士後期課程修了"),"要編集",IF(OR(B28="",D28=""),"未入力","OK"))))</f>
        <v>要編集</v>
      </c>
    </row>
    <row r="29" spans="1:5" ht="20" customHeight="1">
      <c r="A29" s="2">
        <v>6</v>
      </c>
      <c r="B29" s="4" t="s">
        <v>134</v>
      </c>
      <c r="C29" s="4" t="s">
        <v>135</v>
      </c>
      <c r="D29" s="4" t="s">
        <v>141</v>
      </c>
      <c r="E29" s="2" t="str">
        <f>IF($B$2="いいえ","削除予定",IF(AND(B29="",C29="",D29=""),"削除予定",IF(AND(B29="経歴",C29="2023",D29="ABCテクノロジー株式会社　研究員"),"要編集",IF(OR(B29="",D29=""),"未入力","OK"))))</f>
        <v>要編集</v>
      </c>
    </row>
    <row r="30" spans="1:5" ht="20" customHeight="1">
      <c r="A30" s="2">
        <v>7</v>
      </c>
      <c r="B30" s="4" t="s">
        <v>134</v>
      </c>
      <c r="C30" s="4" t="s">
        <v>135</v>
      </c>
      <c r="D30" s="4" t="s">
        <v>142</v>
      </c>
      <c r="E30" s="2" t="str">
        <f>IF($B$2="いいえ","削除予定",IF(AND(B30="",C30="",D30=""),"削除予定",IF(AND(B30="経歴",C30="2023",D30="帝都大学　准教授"),"要編集",IF(OR(B30="",D30=""),"未入力","OK"))))</f>
        <v>要編集</v>
      </c>
    </row>
    <row r="31" spans="1:5" ht="20" customHeight="1">
      <c r="A31" s="2">
        <v>8</v>
      </c>
      <c r="B31" s="4" t="s">
        <v>134</v>
      </c>
      <c r="C31" s="4" t="s">
        <v>135</v>
      </c>
      <c r="D31" s="4" t="s">
        <v>143</v>
      </c>
      <c r="E31" s="2" t="str">
        <f>IF($B$2="いいえ","削除予定",IF(AND(B31="",C31="",D31=""),"削除予定",IF(AND(B31="経歴",C31="2023",D31="帝都大学　教授"),"要編集",IF(OR(B31="",D31=""),"未入力","OK"))))</f>
        <v>要編集</v>
      </c>
    </row>
    <row r="32" spans="1:5" ht="20" customHeight="1">
      <c r="A32" s="2">
        <v>9</v>
      </c>
      <c r="B32" s="4" t="s">
        <v>144</v>
      </c>
      <c r="C32" s="4" t="s">
        <v>135</v>
      </c>
      <c r="D32" s="4" t="s">
        <v>145</v>
      </c>
      <c r="E32" s="2" t="str">
        <f>IF($B$2="いいえ","削除予定",IF(AND(B32="",C32="",D32=""),"削除予定",IF(AND(B32="受賞歴",C32="2023",D32="日本データサイエンス賞受賞"),"要編集",IF(OR(B32="",D32=""),"未入力","OK"))))</f>
        <v>要編集</v>
      </c>
    </row>
    <row r="33" spans="1:5" ht="20" customHeight="1">
      <c r="A33" s="2">
        <v>10</v>
      </c>
      <c r="B33" s="4" t="s">
        <v>144</v>
      </c>
      <c r="C33" s="4" t="s">
        <v>135</v>
      </c>
      <c r="D33" s="4" t="s">
        <v>146</v>
      </c>
      <c r="E33" s="2" t="str">
        <f>IF($B$2="いいえ","削除予定",IF(AND(B33="",C33="",D33=""),"削除予定",IF(AND(B33="受賞歴",C33="2023",D33="国際AI学会最優秀論文賞"),"要編集",IF(OR(B33="",D33=""),"未入力","OK"))))</f>
        <v>要編集</v>
      </c>
    </row>
    <row r="34" spans="1:5" ht="20" customHeight="1">
      <c r="A34" s="2">
        <v>11</v>
      </c>
      <c r="B34" s="4" t="s">
        <v>147</v>
      </c>
      <c r="C34" s="4"/>
      <c r="D34" s="4" t="s">
        <v>148</v>
      </c>
      <c r="E34" s="2" t="str">
        <f>IF($B$2="いいえ","削除予定",IF(AND(B34="",C34="",D34=""),"削除予定",IF(AND(B34="所属学会",C34="",D34="全国人工知能研究学会"),"要編集",IF(OR(B34="",D34=""),"未入力","OK"))))</f>
        <v>要編集</v>
      </c>
    </row>
    <row r="35" spans="1:5" ht="20" customHeight="1">
      <c r="A35" s="2">
        <v>12</v>
      </c>
      <c r="B35" s="4" t="s">
        <v>147</v>
      </c>
      <c r="C35" s="4"/>
      <c r="D35" s="4" t="s">
        <v>149</v>
      </c>
      <c r="E35" s="2" t="str">
        <f>IF($B$2="いいえ","削除予定",IF(AND(B35="",C35="",D35=""),"削除予定",IF(AND(B35="所属学会",C35="",D35="アジア人工知能技術学会"),"要編集",IF(OR(B35="",D35=""),"未入力","OK"))))</f>
        <v>要編集</v>
      </c>
    </row>
    <row r="36" spans="1:5" ht="20" customHeight="1">
      <c r="A36" s="2">
        <v>13</v>
      </c>
      <c r="B36" s="4" t="s">
        <v>147</v>
      </c>
      <c r="C36" s="4"/>
      <c r="D36" s="4" t="s">
        <v>150</v>
      </c>
      <c r="E36" s="2" t="str">
        <f>IF($B$2="いいえ","削除予定",IF(AND(B36="",C36="",D36=""),"削除予定",IF(AND(B36="所属学会",C36="",D36="先端AIイノベーション学会"),"要編集",IF(OR(B36="",D36=""),"未入力","OK"))))</f>
        <v>要編集</v>
      </c>
    </row>
    <row r="37" spans="1:5" ht="20" customHeight="1">
      <c r="A37" s="2">
        <v>14</v>
      </c>
      <c r="B37" s="4"/>
      <c r="C37" s="4"/>
      <c r="D37" s="4"/>
      <c r="E37" s="2" t="str">
        <f t="shared" ref="E37:E53" si="0">IF($B$2="いいえ","削除予定",IF(AND(B37="",C37="",D37=""),"削除予定",IF(OR(B37="",D37=""),"未入力","OK")))</f>
        <v>削除予定</v>
      </c>
    </row>
    <row r="38" spans="1:5" ht="20" customHeight="1">
      <c r="A38" s="2">
        <v>15</v>
      </c>
      <c r="B38" s="4"/>
      <c r="C38" s="4"/>
      <c r="D38" s="4"/>
      <c r="E38" s="2" t="str">
        <f t="shared" si="0"/>
        <v>削除予定</v>
      </c>
    </row>
    <row r="39" spans="1:5" ht="20" customHeight="1">
      <c r="A39" s="2">
        <v>16</v>
      </c>
      <c r="B39" s="4"/>
      <c r="C39" s="4"/>
      <c r="D39" s="4"/>
      <c r="E39" s="2" t="str">
        <f t="shared" si="0"/>
        <v>削除予定</v>
      </c>
    </row>
    <row r="40" spans="1:5" ht="20" customHeight="1">
      <c r="A40" s="2">
        <v>17</v>
      </c>
      <c r="B40" s="4"/>
      <c r="C40" s="4"/>
      <c r="D40" s="4"/>
      <c r="E40" s="2" t="str">
        <f t="shared" si="0"/>
        <v>削除予定</v>
      </c>
    </row>
    <row r="41" spans="1:5" ht="20" customHeight="1">
      <c r="A41" s="2">
        <v>18</v>
      </c>
      <c r="B41" s="4"/>
      <c r="C41" s="4"/>
      <c r="D41" s="4"/>
      <c r="E41" s="2" t="str">
        <f t="shared" si="0"/>
        <v>削除予定</v>
      </c>
    </row>
    <row r="42" spans="1:5" ht="20" customHeight="1">
      <c r="A42" s="2">
        <v>19</v>
      </c>
      <c r="B42" s="4"/>
      <c r="C42" s="4"/>
      <c r="D42" s="4"/>
      <c r="E42" s="2" t="str">
        <f t="shared" si="0"/>
        <v>削除予定</v>
      </c>
    </row>
    <row r="43" spans="1:5" ht="20" customHeight="1">
      <c r="A43" s="2">
        <v>20</v>
      </c>
      <c r="B43" s="4"/>
      <c r="C43" s="4"/>
      <c r="D43" s="4"/>
      <c r="E43" s="2" t="str">
        <f t="shared" si="0"/>
        <v>削除予定</v>
      </c>
    </row>
    <row r="44" spans="1:5" ht="20" customHeight="1">
      <c r="A44" s="2">
        <v>21</v>
      </c>
      <c r="B44" s="4"/>
      <c r="C44" s="4"/>
      <c r="D44" s="4"/>
      <c r="E44" s="2" t="str">
        <f t="shared" si="0"/>
        <v>削除予定</v>
      </c>
    </row>
    <row r="45" spans="1:5" ht="20" customHeight="1">
      <c r="A45" s="2">
        <v>22</v>
      </c>
      <c r="B45" s="4"/>
      <c r="C45" s="4"/>
      <c r="D45" s="4"/>
      <c r="E45" s="2" t="str">
        <f t="shared" si="0"/>
        <v>削除予定</v>
      </c>
    </row>
    <row r="46" spans="1:5" ht="20" customHeight="1">
      <c r="A46" s="2">
        <v>23</v>
      </c>
      <c r="B46" s="4"/>
      <c r="C46" s="4"/>
      <c r="D46" s="4"/>
      <c r="E46" s="2" t="str">
        <f t="shared" si="0"/>
        <v>削除予定</v>
      </c>
    </row>
    <row r="47" spans="1:5" ht="20" customHeight="1">
      <c r="A47" s="2">
        <v>24</v>
      </c>
      <c r="B47" s="4"/>
      <c r="C47" s="4"/>
      <c r="D47" s="4"/>
      <c r="E47" s="2" t="str">
        <f t="shared" si="0"/>
        <v>削除予定</v>
      </c>
    </row>
    <row r="48" spans="1:5" ht="20" customHeight="1">
      <c r="A48" s="2">
        <v>25</v>
      </c>
      <c r="B48" s="4"/>
      <c r="C48" s="4"/>
      <c r="D48" s="4"/>
      <c r="E48" s="2" t="str">
        <f t="shared" si="0"/>
        <v>削除予定</v>
      </c>
    </row>
    <row r="49" spans="1:5" ht="20" customHeight="1">
      <c r="A49" s="2">
        <v>26</v>
      </c>
      <c r="B49" s="4"/>
      <c r="C49" s="4"/>
      <c r="D49" s="4"/>
      <c r="E49" s="2" t="str">
        <f t="shared" si="0"/>
        <v>削除予定</v>
      </c>
    </row>
    <row r="50" spans="1:5" ht="20" customHeight="1">
      <c r="A50" s="2">
        <v>27</v>
      </c>
      <c r="B50" s="4"/>
      <c r="C50" s="4"/>
      <c r="D50" s="4"/>
      <c r="E50" s="2" t="str">
        <f t="shared" si="0"/>
        <v>削除予定</v>
      </c>
    </row>
    <row r="51" spans="1:5" ht="20" customHeight="1">
      <c r="A51" s="2">
        <v>28</v>
      </c>
      <c r="B51" s="4"/>
      <c r="C51" s="4"/>
      <c r="D51" s="4"/>
      <c r="E51" s="2" t="str">
        <f t="shared" si="0"/>
        <v>削除予定</v>
      </c>
    </row>
    <row r="52" spans="1:5" ht="20" customHeight="1">
      <c r="A52" s="2">
        <v>29</v>
      </c>
      <c r="B52" s="4"/>
      <c r="C52" s="4"/>
      <c r="D52" s="4"/>
      <c r="E52" s="2" t="str">
        <f t="shared" si="0"/>
        <v>削除予定</v>
      </c>
    </row>
    <row r="53" spans="1:5" ht="20" customHeight="1">
      <c r="A53" s="2">
        <v>30</v>
      </c>
      <c r="B53" s="4"/>
      <c r="C53" s="4"/>
      <c r="D53" s="4"/>
      <c r="E53" s="2" t="str">
        <f t="shared" si="0"/>
        <v>削除予定</v>
      </c>
    </row>
  </sheetData>
  <mergeCells count="4">
    <mergeCell ref="A1:E1"/>
    <mergeCell ref="C2:E2"/>
    <mergeCell ref="C3:E3"/>
    <mergeCell ref="A7:E7"/>
  </mergeCells>
  <phoneticPr fontId="11"/>
  <conditionalFormatting sqref="C5">
    <cfRule type="expression" dxfId="35" priority="10">
      <formula>OR(A1="要編集",A1="未入力",LEFT(A1,5)="ERROR")</formula>
    </cfRule>
    <cfRule type="expression" dxfId="34" priority="11">
      <formula>A1="OK"</formula>
    </cfRule>
    <cfRule type="expression" dxfId="33" priority="12">
      <formula>A1="削除予定"</formula>
    </cfRule>
  </conditionalFormatting>
  <conditionalFormatting sqref="C10:C12">
    <cfRule type="expression" dxfId="32" priority="1">
      <formula>OR(A1="要編集",A1="未入力",LEFT(A1,5)="ERROR")</formula>
    </cfRule>
    <cfRule type="expression" dxfId="31" priority="2">
      <formula>A1="OK"</formula>
    </cfRule>
    <cfRule type="expression" dxfId="30" priority="3">
      <formula>A1="削除予定"</formula>
    </cfRule>
  </conditionalFormatting>
  <conditionalFormatting sqref="C16:C20">
    <cfRule type="expression" dxfId="29" priority="4">
      <formula>OR(A1="要編集",A1="未入力",LEFT(A1,5)="ERROR")</formula>
    </cfRule>
    <cfRule type="expression" dxfId="28" priority="5">
      <formula>A1="OK"</formula>
    </cfRule>
    <cfRule type="expression" dxfId="27" priority="6">
      <formula>A1="削除予定"</formula>
    </cfRule>
  </conditionalFormatting>
  <conditionalFormatting sqref="E24:E53">
    <cfRule type="expression" dxfId="26" priority="7">
      <formula>OR(A1="要編集",A1="未入力",LEFT(A1,5)="ERROR")</formula>
    </cfRule>
    <cfRule type="expression" dxfId="25" priority="8">
      <formula>A1="OK"</formula>
    </cfRule>
    <cfRule type="expression" dxfId="24" priority="9">
      <formula>A1="削除予定"</formula>
    </cfRule>
  </conditionalFormatting>
  <dataValidations count="1">
    <dataValidation type="list" sqref="B2" xr:uid="{00000000-0002-0000-0600-000000000000}">
      <formula1>"はい,いいえ"</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1"/>
  <sheetViews>
    <sheetView workbookViewId="0"/>
  </sheetViews>
  <sheetFormatPr defaultRowHeight="14"/>
  <cols>
    <col min="1" max="1" width="18" customWidth="1"/>
    <col min="2" max="2" width="14" customWidth="1"/>
    <col min="3" max="3" width="92" customWidth="1"/>
    <col min="4" max="4" width="42" customWidth="1"/>
    <col min="5" max="5" width="16" customWidth="1"/>
  </cols>
  <sheetData>
    <row r="1" spans="1:5" ht="20" customHeight="1">
      <c r="A1" s="8" t="s">
        <v>151</v>
      </c>
      <c r="B1" s="8"/>
      <c r="C1" s="8"/>
      <c r="D1" s="8"/>
      <c r="E1" s="8"/>
    </row>
    <row r="2" spans="1:5" ht="18.649999999999999" customHeight="1">
      <c r="A2" s="3" t="s">
        <v>66</v>
      </c>
      <c r="B2" s="4" t="s">
        <v>67</v>
      </c>
      <c r="C2" s="9" t="s">
        <v>68</v>
      </c>
      <c r="D2" s="9"/>
      <c r="E2" s="9"/>
    </row>
    <row r="3" spans="1:5" ht="18.649999999999999" customHeight="1">
      <c r="A3" s="3" t="s">
        <v>69</v>
      </c>
      <c r="B3" s="4" t="s">
        <v>33</v>
      </c>
      <c r="C3" s="9" t="s">
        <v>70</v>
      </c>
      <c r="D3" s="9"/>
      <c r="E3" s="9"/>
    </row>
    <row r="4" spans="1:5">
      <c r="A4" s="2"/>
      <c r="B4" s="2"/>
      <c r="C4" s="2"/>
      <c r="D4" s="2"/>
      <c r="E4" s="2"/>
    </row>
    <row r="5" spans="1:5">
      <c r="A5" s="3" t="s">
        <v>46</v>
      </c>
      <c r="B5" s="2"/>
      <c r="C5" s="2" t="str">
        <f>IF(B2="いいえ","削除予定",IF(COUNTIF(E18:E67,"要編集")+COUNTIF(E18:E67,"未入力")&gt;0,"ERROR: 要編集あり","OK"))</f>
        <v>ERROR: 要編集あり</v>
      </c>
      <c r="D5" s="2"/>
      <c r="E5" s="2"/>
    </row>
    <row r="6" spans="1:5">
      <c r="A6" s="2"/>
      <c r="B6" s="2"/>
      <c r="C6" s="2"/>
      <c r="D6" s="2"/>
      <c r="E6" s="2"/>
    </row>
    <row r="7" spans="1:5" ht="32" customHeight="1">
      <c r="A7" s="10" t="s">
        <v>152</v>
      </c>
      <c r="B7" s="10"/>
      <c r="C7" s="10"/>
      <c r="D7" s="10"/>
      <c r="E7" s="10"/>
    </row>
    <row r="8" spans="1:5">
      <c r="A8" s="2"/>
      <c r="B8" s="2"/>
      <c r="C8" s="2"/>
      <c r="D8" s="2"/>
      <c r="E8" s="2"/>
    </row>
    <row r="9" spans="1:5" ht="20" customHeight="1">
      <c r="A9" s="1" t="s">
        <v>153</v>
      </c>
      <c r="B9" s="1" t="s">
        <v>154</v>
      </c>
      <c r="C9" s="1" t="s">
        <v>155</v>
      </c>
      <c r="D9" s="1" t="s">
        <v>51</v>
      </c>
      <c r="E9" s="2"/>
    </row>
    <row r="10" spans="1:5" ht="18.649999999999999" customHeight="1">
      <c r="A10" s="2">
        <v>1</v>
      </c>
      <c r="B10" s="4" t="s">
        <v>67</v>
      </c>
      <c r="C10" s="4" t="s">
        <v>156</v>
      </c>
      <c r="D10" s="2" t="s">
        <v>157</v>
      </c>
      <c r="E10" s="2"/>
    </row>
    <row r="11" spans="1:5" ht="18.649999999999999" customHeight="1">
      <c r="A11" s="2">
        <v>2</v>
      </c>
      <c r="B11" s="4" t="s">
        <v>67</v>
      </c>
      <c r="C11" s="4" t="s">
        <v>158</v>
      </c>
      <c r="D11" s="2" t="s">
        <v>157</v>
      </c>
      <c r="E11" s="2"/>
    </row>
    <row r="12" spans="1:5" ht="18.649999999999999" customHeight="1">
      <c r="A12" s="2">
        <v>3</v>
      </c>
      <c r="B12" s="4" t="s">
        <v>67</v>
      </c>
      <c r="C12" s="4" t="s">
        <v>159</v>
      </c>
      <c r="D12" s="2" t="s">
        <v>157</v>
      </c>
      <c r="E12" s="2"/>
    </row>
    <row r="13" spans="1:5" ht="18.649999999999999" customHeight="1">
      <c r="A13" s="2">
        <v>4</v>
      </c>
      <c r="B13" s="4" t="s">
        <v>67</v>
      </c>
      <c r="C13" s="4" t="s">
        <v>160</v>
      </c>
      <c r="D13" s="2" t="s">
        <v>157</v>
      </c>
      <c r="E13" s="2"/>
    </row>
    <row r="14" spans="1:5" ht="18.649999999999999" customHeight="1">
      <c r="A14" s="2">
        <v>5</v>
      </c>
      <c r="B14" s="4" t="s">
        <v>67</v>
      </c>
      <c r="C14" s="4" t="s">
        <v>161</v>
      </c>
      <c r="D14" s="2" t="s">
        <v>157</v>
      </c>
      <c r="E14" s="2"/>
    </row>
    <row r="15" spans="1:5">
      <c r="A15" s="2"/>
      <c r="B15" s="2"/>
      <c r="C15" s="2"/>
      <c r="D15" s="2"/>
      <c r="E15" s="2"/>
    </row>
    <row r="16" spans="1:5">
      <c r="A16" s="2"/>
      <c r="B16" s="2"/>
      <c r="C16" s="2"/>
      <c r="D16" s="2"/>
      <c r="E16" s="2"/>
    </row>
    <row r="17" spans="1:5" ht="20" customHeight="1">
      <c r="A17" s="1" t="s">
        <v>162</v>
      </c>
      <c r="B17" s="1" t="s">
        <v>2</v>
      </c>
      <c r="C17" s="1" t="s">
        <v>73</v>
      </c>
      <c r="D17" s="1" t="s">
        <v>163</v>
      </c>
      <c r="E17" s="1" t="s">
        <v>49</v>
      </c>
    </row>
    <row r="18" spans="1:5" ht="25.4" customHeight="1">
      <c r="A18" s="2" t="str">
        <f t="shared" ref="A18:A27" si="0">$C$10</f>
        <v>論文誌</v>
      </c>
      <c r="B18" s="2">
        <v>1</v>
      </c>
      <c r="C18" s="4" t="s">
        <v>164</v>
      </c>
      <c r="D18" s="4"/>
      <c r="E18" s="2" t="str">
        <f>IF(OR($B$2="いいえ",$B$10="いいえ"),"削除予定",IF(AND(C18="",D18=""),"削除予定",IF(C18="佐藤 太郎, 佐藤真理子, 吉田章: 「組み込みシステムにおける人工知能の応用と性能改善」, 全国人工知能研究学会論文誌, 第39巻2号, (2024).","要編集",IF(C18="","未入力","OK"))))</f>
        <v>要編集</v>
      </c>
    </row>
    <row r="19" spans="1:5" ht="25.4" customHeight="1">
      <c r="A19" s="2" t="str">
        <f t="shared" si="0"/>
        <v>論文誌</v>
      </c>
      <c r="B19" s="2">
        <v>2</v>
      </c>
      <c r="C19" s="4" t="s">
        <v>165</v>
      </c>
      <c r="D19" s="4"/>
      <c r="E19" s="2" t="str">
        <f t="shared" ref="E19:E24" si="1">IF(OR($B$2="いいえ",$B$10="いいえ"),"削除予定",IF(AND(C19="",D19=""),"削除予定",IF(C19="論文誌_リスト","要編集",IF(C19="","未入力","OK"))))</f>
        <v>要編集</v>
      </c>
    </row>
    <row r="20" spans="1:5" ht="25.4" customHeight="1">
      <c r="A20" s="2" t="str">
        <f t="shared" si="0"/>
        <v>論文誌</v>
      </c>
      <c r="B20" s="2">
        <v>3</v>
      </c>
      <c r="C20" s="4" t="s">
        <v>165</v>
      </c>
      <c r="D20" s="4"/>
      <c r="E20" s="2" t="str">
        <f t="shared" si="1"/>
        <v>要編集</v>
      </c>
    </row>
    <row r="21" spans="1:5" ht="25.4" customHeight="1">
      <c r="A21" s="2" t="str">
        <f t="shared" si="0"/>
        <v>論文誌</v>
      </c>
      <c r="B21" s="2">
        <v>4</v>
      </c>
      <c r="C21" s="4" t="s">
        <v>165</v>
      </c>
      <c r="D21" s="4"/>
      <c r="E21" s="2" t="str">
        <f t="shared" si="1"/>
        <v>要編集</v>
      </c>
    </row>
    <row r="22" spans="1:5" ht="25.4" customHeight="1">
      <c r="A22" s="2" t="str">
        <f t="shared" si="0"/>
        <v>論文誌</v>
      </c>
      <c r="B22" s="2">
        <v>5</v>
      </c>
      <c r="C22" s="4" t="s">
        <v>165</v>
      </c>
      <c r="D22" s="4"/>
      <c r="E22" s="2" t="str">
        <f t="shared" si="1"/>
        <v>要編集</v>
      </c>
    </row>
    <row r="23" spans="1:5" ht="25.4" customHeight="1">
      <c r="A23" s="2" t="str">
        <f t="shared" si="0"/>
        <v>論文誌</v>
      </c>
      <c r="B23" s="2">
        <v>6</v>
      </c>
      <c r="C23" s="4" t="s">
        <v>165</v>
      </c>
      <c r="D23" s="4"/>
      <c r="E23" s="2" t="str">
        <f t="shared" si="1"/>
        <v>要編集</v>
      </c>
    </row>
    <row r="24" spans="1:5" ht="25.4" customHeight="1">
      <c r="A24" s="2" t="str">
        <f t="shared" si="0"/>
        <v>論文誌</v>
      </c>
      <c r="B24" s="2">
        <v>7</v>
      </c>
      <c r="C24" s="4" t="s">
        <v>165</v>
      </c>
      <c r="D24" s="4"/>
      <c r="E24" s="2" t="str">
        <f t="shared" si="1"/>
        <v>要編集</v>
      </c>
    </row>
    <row r="25" spans="1:5" ht="25.4" customHeight="1">
      <c r="A25" s="2" t="str">
        <f t="shared" si="0"/>
        <v>論文誌</v>
      </c>
      <c r="B25" s="2">
        <v>8</v>
      </c>
      <c r="C25" s="4"/>
      <c r="D25" s="4"/>
      <c r="E25" s="2" t="str">
        <f>IF(OR($B$2="いいえ",$B$10="いいえ"),"削除予定",IF(AND(C25="",D25=""),"削除予定",IF(C25="","未入力","OK")))</f>
        <v>削除予定</v>
      </c>
    </row>
    <row r="26" spans="1:5" ht="25.4" customHeight="1">
      <c r="A26" s="2" t="str">
        <f t="shared" si="0"/>
        <v>論文誌</v>
      </c>
      <c r="B26" s="2">
        <v>9</v>
      </c>
      <c r="C26" s="4"/>
      <c r="D26" s="4"/>
      <c r="E26" s="2" t="str">
        <f>IF(OR($B$2="いいえ",$B$10="いいえ"),"削除予定",IF(AND(C26="",D26=""),"削除予定",IF(C26="","未入力","OK")))</f>
        <v>削除予定</v>
      </c>
    </row>
    <row r="27" spans="1:5" ht="25.4" customHeight="1">
      <c r="A27" s="2" t="str">
        <f t="shared" si="0"/>
        <v>論文誌</v>
      </c>
      <c r="B27" s="2">
        <v>10</v>
      </c>
      <c r="C27" s="4"/>
      <c r="D27" s="4"/>
      <c r="E27" s="2" t="str">
        <f>IF(OR($B$2="いいえ",$B$10="いいえ"),"削除予定",IF(AND(C27="",D27=""),"削除予定",IF(C27="","未入力","OK")))</f>
        <v>削除予定</v>
      </c>
    </row>
    <row r="28" spans="1:5" ht="25.4" customHeight="1">
      <c r="A28" s="2" t="str">
        <f t="shared" ref="A28:A37" si="2">$C$11</f>
        <v>学会発表</v>
      </c>
      <c r="B28" s="2">
        <v>1</v>
      </c>
      <c r="C28" s="4" t="s">
        <v>166</v>
      </c>
      <c r="D28" s="4"/>
      <c r="E28" s="2" t="str">
        <f t="shared" ref="E28:E37" si="3">IF(OR($B$2="いいえ",$B$11="いいえ"),"削除予定",IF(AND(C28="",D28=""),"削除予定",IF(C28="学会発表_リスト","要編集",IF(C28="","未入力","OK"))))</f>
        <v>要編集</v>
      </c>
    </row>
    <row r="29" spans="1:5" ht="25.4" customHeight="1">
      <c r="A29" s="2" t="str">
        <f t="shared" si="2"/>
        <v>学会発表</v>
      </c>
      <c r="B29" s="2">
        <v>2</v>
      </c>
      <c r="C29" s="4" t="s">
        <v>166</v>
      </c>
      <c r="D29" s="4"/>
      <c r="E29" s="2" t="str">
        <f t="shared" si="3"/>
        <v>要編集</v>
      </c>
    </row>
    <row r="30" spans="1:5" ht="25.4" customHeight="1">
      <c r="A30" s="2" t="str">
        <f t="shared" si="2"/>
        <v>学会発表</v>
      </c>
      <c r="B30" s="2">
        <v>3</v>
      </c>
      <c r="C30" s="4" t="s">
        <v>166</v>
      </c>
      <c r="D30" s="4"/>
      <c r="E30" s="2" t="str">
        <f t="shared" si="3"/>
        <v>要編集</v>
      </c>
    </row>
    <row r="31" spans="1:5" ht="25.4" customHeight="1">
      <c r="A31" s="2" t="str">
        <f t="shared" si="2"/>
        <v>学会発表</v>
      </c>
      <c r="B31" s="2">
        <v>4</v>
      </c>
      <c r="C31" s="4" t="s">
        <v>166</v>
      </c>
      <c r="D31" s="4"/>
      <c r="E31" s="2" t="str">
        <f t="shared" si="3"/>
        <v>要編集</v>
      </c>
    </row>
    <row r="32" spans="1:5" ht="25.4" customHeight="1">
      <c r="A32" s="2" t="str">
        <f t="shared" si="2"/>
        <v>学会発表</v>
      </c>
      <c r="B32" s="2">
        <v>5</v>
      </c>
      <c r="C32" s="4" t="s">
        <v>166</v>
      </c>
      <c r="D32" s="4"/>
      <c r="E32" s="2" t="str">
        <f t="shared" si="3"/>
        <v>要編集</v>
      </c>
    </row>
    <row r="33" spans="1:5" ht="25.4" customHeight="1">
      <c r="A33" s="2" t="str">
        <f t="shared" si="2"/>
        <v>学会発表</v>
      </c>
      <c r="B33" s="2">
        <v>6</v>
      </c>
      <c r="C33" s="4" t="s">
        <v>166</v>
      </c>
      <c r="D33" s="4"/>
      <c r="E33" s="2" t="str">
        <f t="shared" si="3"/>
        <v>要編集</v>
      </c>
    </row>
    <row r="34" spans="1:5" ht="25.4" customHeight="1">
      <c r="A34" s="2" t="str">
        <f t="shared" si="2"/>
        <v>学会発表</v>
      </c>
      <c r="B34" s="2">
        <v>7</v>
      </c>
      <c r="C34" s="4" t="s">
        <v>166</v>
      </c>
      <c r="D34" s="4"/>
      <c r="E34" s="2" t="str">
        <f t="shared" si="3"/>
        <v>要編集</v>
      </c>
    </row>
    <row r="35" spans="1:5" ht="25.4" customHeight="1">
      <c r="A35" s="2" t="str">
        <f t="shared" si="2"/>
        <v>学会発表</v>
      </c>
      <c r="B35" s="2">
        <v>8</v>
      </c>
      <c r="C35" s="4" t="s">
        <v>166</v>
      </c>
      <c r="D35" s="4"/>
      <c r="E35" s="2" t="str">
        <f t="shared" si="3"/>
        <v>要編集</v>
      </c>
    </row>
    <row r="36" spans="1:5" ht="25.4" customHeight="1">
      <c r="A36" s="2" t="str">
        <f t="shared" si="2"/>
        <v>学会発表</v>
      </c>
      <c r="B36" s="2">
        <v>9</v>
      </c>
      <c r="C36" s="4" t="s">
        <v>166</v>
      </c>
      <c r="D36" s="4"/>
      <c r="E36" s="2" t="str">
        <f t="shared" si="3"/>
        <v>要編集</v>
      </c>
    </row>
    <row r="37" spans="1:5" ht="25.4" customHeight="1">
      <c r="A37" s="2" t="str">
        <f t="shared" si="2"/>
        <v>学会発表</v>
      </c>
      <c r="B37" s="2">
        <v>10</v>
      </c>
      <c r="C37" s="4" t="s">
        <v>166</v>
      </c>
      <c r="D37" s="4"/>
      <c r="E37" s="2" t="str">
        <f t="shared" si="3"/>
        <v>要編集</v>
      </c>
    </row>
    <row r="38" spans="1:5" ht="25.4" customHeight="1">
      <c r="A38" s="2" t="str">
        <f t="shared" ref="A38:A47" si="4">$C$12</f>
        <v>外部記事</v>
      </c>
      <c r="B38" s="2">
        <v>1</v>
      </c>
      <c r="C38" s="4" t="s">
        <v>167</v>
      </c>
      <c r="D38" s="4"/>
      <c r="E38" s="2" t="str">
        <f t="shared" ref="E38:E47" si="5">IF(OR($B$2="いいえ",$B$12="いいえ"),"削除予定",IF(AND(C38="",D38=""),"削除予定",IF(C38="外部記事_リスト","要編集",IF(C38="","未入力","OK"))))</f>
        <v>要編集</v>
      </c>
    </row>
    <row r="39" spans="1:5" ht="25.4" customHeight="1">
      <c r="A39" s="2" t="str">
        <f t="shared" si="4"/>
        <v>外部記事</v>
      </c>
      <c r="B39" s="2">
        <v>2</v>
      </c>
      <c r="C39" s="4" t="s">
        <v>167</v>
      </c>
      <c r="D39" s="4"/>
      <c r="E39" s="2" t="str">
        <f t="shared" si="5"/>
        <v>要編集</v>
      </c>
    </row>
    <row r="40" spans="1:5" ht="25.4" customHeight="1">
      <c r="A40" s="2" t="str">
        <f t="shared" si="4"/>
        <v>外部記事</v>
      </c>
      <c r="B40" s="2">
        <v>3</v>
      </c>
      <c r="C40" s="4" t="s">
        <v>167</v>
      </c>
      <c r="D40" s="4"/>
      <c r="E40" s="2" t="str">
        <f t="shared" si="5"/>
        <v>要編集</v>
      </c>
    </row>
    <row r="41" spans="1:5" ht="25.4" customHeight="1">
      <c r="A41" s="2" t="str">
        <f t="shared" si="4"/>
        <v>外部記事</v>
      </c>
      <c r="B41" s="2">
        <v>4</v>
      </c>
      <c r="C41" s="4" t="s">
        <v>167</v>
      </c>
      <c r="D41" s="4"/>
      <c r="E41" s="2" t="str">
        <f t="shared" si="5"/>
        <v>要編集</v>
      </c>
    </row>
    <row r="42" spans="1:5" ht="25.4" customHeight="1">
      <c r="A42" s="2" t="str">
        <f t="shared" si="4"/>
        <v>外部記事</v>
      </c>
      <c r="B42" s="2">
        <v>5</v>
      </c>
      <c r="C42" s="4" t="s">
        <v>167</v>
      </c>
      <c r="D42" s="4"/>
      <c r="E42" s="2" t="str">
        <f t="shared" si="5"/>
        <v>要編集</v>
      </c>
    </row>
    <row r="43" spans="1:5" ht="25.4" customHeight="1">
      <c r="A43" s="2" t="str">
        <f t="shared" si="4"/>
        <v>外部記事</v>
      </c>
      <c r="B43" s="2">
        <v>6</v>
      </c>
      <c r="C43" s="4" t="s">
        <v>167</v>
      </c>
      <c r="D43" s="4"/>
      <c r="E43" s="2" t="str">
        <f t="shared" si="5"/>
        <v>要編集</v>
      </c>
    </row>
    <row r="44" spans="1:5" ht="25.4" customHeight="1">
      <c r="A44" s="2" t="str">
        <f t="shared" si="4"/>
        <v>外部記事</v>
      </c>
      <c r="B44" s="2">
        <v>7</v>
      </c>
      <c r="C44" s="4" t="s">
        <v>167</v>
      </c>
      <c r="D44" s="4"/>
      <c r="E44" s="2" t="str">
        <f t="shared" si="5"/>
        <v>要編集</v>
      </c>
    </row>
    <row r="45" spans="1:5" ht="25.4" customHeight="1">
      <c r="A45" s="2" t="str">
        <f t="shared" si="4"/>
        <v>外部記事</v>
      </c>
      <c r="B45" s="2">
        <v>8</v>
      </c>
      <c r="C45" s="4" t="s">
        <v>167</v>
      </c>
      <c r="D45" s="4"/>
      <c r="E45" s="2" t="str">
        <f t="shared" si="5"/>
        <v>要編集</v>
      </c>
    </row>
    <row r="46" spans="1:5" ht="25.4" customHeight="1">
      <c r="A46" s="2" t="str">
        <f t="shared" si="4"/>
        <v>外部記事</v>
      </c>
      <c r="B46" s="2">
        <v>9</v>
      </c>
      <c r="C46" s="4" t="s">
        <v>167</v>
      </c>
      <c r="D46" s="4"/>
      <c r="E46" s="2" t="str">
        <f t="shared" si="5"/>
        <v>要編集</v>
      </c>
    </row>
    <row r="47" spans="1:5" ht="25.4" customHeight="1">
      <c r="A47" s="2" t="str">
        <f t="shared" si="4"/>
        <v>外部記事</v>
      </c>
      <c r="B47" s="2">
        <v>10</v>
      </c>
      <c r="C47" s="4" t="s">
        <v>167</v>
      </c>
      <c r="D47" s="4"/>
      <c r="E47" s="2" t="str">
        <f t="shared" si="5"/>
        <v>要編集</v>
      </c>
    </row>
    <row r="48" spans="1:5" ht="25.4" customHeight="1">
      <c r="A48" s="2" t="str">
        <f t="shared" ref="A48:A57" si="6">$C$13</f>
        <v>書籍</v>
      </c>
      <c r="B48" s="2">
        <v>1</v>
      </c>
      <c r="C48" s="4" t="s">
        <v>168</v>
      </c>
      <c r="D48" s="4"/>
      <c r="E48" s="2" t="str">
        <f t="shared" ref="E48:E57" si="7">IF(OR($B$2="いいえ",$B$13="いいえ"),"削除予定",IF(AND(C48="",D48=""),"削除予定",IF(C48="書籍_リスト","要編集",IF(C48="","未入力","OK"))))</f>
        <v>要編集</v>
      </c>
    </row>
    <row r="49" spans="1:5" ht="25.4" customHeight="1">
      <c r="A49" s="2" t="str">
        <f t="shared" si="6"/>
        <v>書籍</v>
      </c>
      <c r="B49" s="2">
        <v>2</v>
      </c>
      <c r="C49" s="4" t="s">
        <v>168</v>
      </c>
      <c r="D49" s="4"/>
      <c r="E49" s="2" t="str">
        <f t="shared" si="7"/>
        <v>要編集</v>
      </c>
    </row>
    <row r="50" spans="1:5" ht="25.4" customHeight="1">
      <c r="A50" s="2" t="str">
        <f t="shared" si="6"/>
        <v>書籍</v>
      </c>
      <c r="B50" s="2">
        <v>3</v>
      </c>
      <c r="C50" s="4" t="s">
        <v>168</v>
      </c>
      <c r="D50" s="4"/>
      <c r="E50" s="2" t="str">
        <f t="shared" si="7"/>
        <v>要編集</v>
      </c>
    </row>
    <row r="51" spans="1:5" ht="25.4" customHeight="1">
      <c r="A51" s="2" t="str">
        <f t="shared" si="6"/>
        <v>書籍</v>
      </c>
      <c r="B51" s="2">
        <v>4</v>
      </c>
      <c r="C51" s="4" t="s">
        <v>168</v>
      </c>
      <c r="D51" s="4"/>
      <c r="E51" s="2" t="str">
        <f t="shared" si="7"/>
        <v>要編集</v>
      </c>
    </row>
    <row r="52" spans="1:5" ht="25.4" customHeight="1">
      <c r="A52" s="2" t="str">
        <f t="shared" si="6"/>
        <v>書籍</v>
      </c>
      <c r="B52" s="2">
        <v>5</v>
      </c>
      <c r="C52" s="4" t="s">
        <v>168</v>
      </c>
      <c r="D52" s="4"/>
      <c r="E52" s="2" t="str">
        <f t="shared" si="7"/>
        <v>要編集</v>
      </c>
    </row>
    <row r="53" spans="1:5" ht="25.4" customHeight="1">
      <c r="A53" s="2" t="str">
        <f t="shared" si="6"/>
        <v>書籍</v>
      </c>
      <c r="B53" s="2">
        <v>6</v>
      </c>
      <c r="C53" s="4" t="s">
        <v>168</v>
      </c>
      <c r="D53" s="4"/>
      <c r="E53" s="2" t="str">
        <f t="shared" si="7"/>
        <v>要編集</v>
      </c>
    </row>
    <row r="54" spans="1:5" ht="25.4" customHeight="1">
      <c r="A54" s="2" t="str">
        <f t="shared" si="6"/>
        <v>書籍</v>
      </c>
      <c r="B54" s="2">
        <v>7</v>
      </c>
      <c r="C54" s="4" t="s">
        <v>168</v>
      </c>
      <c r="D54" s="4"/>
      <c r="E54" s="2" t="str">
        <f t="shared" si="7"/>
        <v>要編集</v>
      </c>
    </row>
    <row r="55" spans="1:5" ht="25.4" customHeight="1">
      <c r="A55" s="2" t="str">
        <f t="shared" si="6"/>
        <v>書籍</v>
      </c>
      <c r="B55" s="2">
        <v>8</v>
      </c>
      <c r="C55" s="4" t="s">
        <v>168</v>
      </c>
      <c r="D55" s="4"/>
      <c r="E55" s="2" t="str">
        <f t="shared" si="7"/>
        <v>要編集</v>
      </c>
    </row>
    <row r="56" spans="1:5" ht="25.4" customHeight="1">
      <c r="A56" s="2" t="str">
        <f t="shared" si="6"/>
        <v>書籍</v>
      </c>
      <c r="B56" s="2">
        <v>9</v>
      </c>
      <c r="C56" s="4" t="s">
        <v>168</v>
      </c>
      <c r="D56" s="4"/>
      <c r="E56" s="2" t="str">
        <f t="shared" si="7"/>
        <v>要編集</v>
      </c>
    </row>
    <row r="57" spans="1:5" ht="25.4" customHeight="1">
      <c r="A57" s="2" t="str">
        <f t="shared" si="6"/>
        <v>書籍</v>
      </c>
      <c r="B57" s="2">
        <v>10</v>
      </c>
      <c r="C57" s="4" t="s">
        <v>168</v>
      </c>
      <c r="D57" s="4"/>
      <c r="E57" s="2" t="str">
        <f t="shared" si="7"/>
        <v>要編集</v>
      </c>
    </row>
    <row r="58" spans="1:5" ht="25.4" customHeight="1">
      <c r="A58" s="2" t="str">
        <f t="shared" ref="A58:A67" si="8">$C$14</f>
        <v>その他</v>
      </c>
      <c r="B58" s="2">
        <v>1</v>
      </c>
      <c r="C58" s="4" t="s">
        <v>169</v>
      </c>
      <c r="D58" s="4"/>
      <c r="E58" s="2" t="str">
        <f t="shared" ref="E58:E67" si="9">IF(OR($B$2="いいえ",$B$14="いいえ"),"削除予定",IF(AND(C58="",D58=""),"削除予定",IF(C58="その他_リスト","要編集",IF(C58="","未入力","OK"))))</f>
        <v>要編集</v>
      </c>
    </row>
    <row r="59" spans="1:5" ht="25.4" customHeight="1">
      <c r="A59" s="2" t="str">
        <f t="shared" si="8"/>
        <v>その他</v>
      </c>
      <c r="B59" s="2">
        <v>2</v>
      </c>
      <c r="C59" s="4" t="s">
        <v>169</v>
      </c>
      <c r="D59" s="4"/>
      <c r="E59" s="2" t="str">
        <f t="shared" si="9"/>
        <v>要編集</v>
      </c>
    </row>
    <row r="60" spans="1:5" ht="25.4" customHeight="1">
      <c r="A60" s="2" t="str">
        <f t="shared" si="8"/>
        <v>その他</v>
      </c>
      <c r="B60" s="2">
        <v>3</v>
      </c>
      <c r="C60" s="4" t="s">
        <v>169</v>
      </c>
      <c r="D60" s="4"/>
      <c r="E60" s="2" t="str">
        <f t="shared" si="9"/>
        <v>要編集</v>
      </c>
    </row>
    <row r="61" spans="1:5" ht="25.4" customHeight="1">
      <c r="A61" s="2" t="str">
        <f t="shared" si="8"/>
        <v>その他</v>
      </c>
      <c r="B61" s="2">
        <v>4</v>
      </c>
      <c r="C61" s="4" t="s">
        <v>169</v>
      </c>
      <c r="D61" s="4"/>
      <c r="E61" s="2" t="str">
        <f t="shared" si="9"/>
        <v>要編集</v>
      </c>
    </row>
    <row r="62" spans="1:5" ht="25.4" customHeight="1">
      <c r="A62" s="2" t="str">
        <f t="shared" si="8"/>
        <v>その他</v>
      </c>
      <c r="B62" s="2">
        <v>5</v>
      </c>
      <c r="C62" s="4" t="s">
        <v>169</v>
      </c>
      <c r="D62" s="4"/>
      <c r="E62" s="2" t="str">
        <f t="shared" si="9"/>
        <v>要編集</v>
      </c>
    </row>
    <row r="63" spans="1:5" ht="25.4" customHeight="1">
      <c r="A63" s="2" t="str">
        <f t="shared" si="8"/>
        <v>その他</v>
      </c>
      <c r="B63" s="2">
        <v>6</v>
      </c>
      <c r="C63" s="4" t="s">
        <v>169</v>
      </c>
      <c r="D63" s="4"/>
      <c r="E63" s="2" t="str">
        <f t="shared" si="9"/>
        <v>要編集</v>
      </c>
    </row>
    <row r="64" spans="1:5" ht="25.4" customHeight="1">
      <c r="A64" s="2" t="str">
        <f t="shared" si="8"/>
        <v>その他</v>
      </c>
      <c r="B64" s="2">
        <v>7</v>
      </c>
      <c r="C64" s="4" t="s">
        <v>169</v>
      </c>
      <c r="D64" s="4"/>
      <c r="E64" s="2" t="str">
        <f t="shared" si="9"/>
        <v>要編集</v>
      </c>
    </row>
    <row r="65" spans="1:5" ht="25.4" customHeight="1">
      <c r="A65" s="2" t="str">
        <f t="shared" si="8"/>
        <v>その他</v>
      </c>
      <c r="B65" s="2">
        <v>8</v>
      </c>
      <c r="C65" s="4" t="s">
        <v>169</v>
      </c>
      <c r="D65" s="4"/>
      <c r="E65" s="2" t="str">
        <f t="shared" si="9"/>
        <v>要編集</v>
      </c>
    </row>
    <row r="66" spans="1:5" ht="25.4" customHeight="1">
      <c r="A66" s="2" t="str">
        <f t="shared" si="8"/>
        <v>その他</v>
      </c>
      <c r="B66" s="2">
        <v>9</v>
      </c>
      <c r="C66" s="4" t="s">
        <v>169</v>
      </c>
      <c r="D66" s="4"/>
      <c r="E66" s="2" t="str">
        <f t="shared" si="9"/>
        <v>要編集</v>
      </c>
    </row>
    <row r="67" spans="1:5" ht="25.4" customHeight="1">
      <c r="A67" s="2" t="str">
        <f t="shared" si="8"/>
        <v>その他</v>
      </c>
      <c r="B67" s="2">
        <v>10</v>
      </c>
      <c r="C67" s="4" t="s">
        <v>169</v>
      </c>
      <c r="D67" s="4"/>
      <c r="E67" s="2" t="str">
        <f t="shared" si="9"/>
        <v>要編集</v>
      </c>
    </row>
    <row r="68" spans="1:5">
      <c r="A68" s="2"/>
      <c r="B68" s="2"/>
      <c r="C68" s="2"/>
      <c r="D68" s="2"/>
      <c r="E68" s="2"/>
    </row>
    <row r="69" spans="1:5" ht="17.399999999999999" customHeight="1">
      <c r="A69" s="9" t="s">
        <v>170</v>
      </c>
      <c r="B69" s="9"/>
      <c r="C69" s="9"/>
      <c r="D69" s="9"/>
      <c r="E69" s="9"/>
    </row>
    <row r="70" spans="1:5" ht="17.399999999999999" customHeight="1">
      <c r="A70" s="9"/>
      <c r="B70" s="9"/>
      <c r="C70" s="9"/>
      <c r="D70" s="9"/>
      <c r="E70" s="9"/>
    </row>
    <row r="71" spans="1:5" ht="17.399999999999999" customHeight="1">
      <c r="A71" s="9"/>
      <c r="B71" s="9"/>
      <c r="C71" s="9"/>
      <c r="D71" s="9"/>
      <c r="E71" s="9"/>
    </row>
  </sheetData>
  <mergeCells count="5">
    <mergeCell ref="A1:E1"/>
    <mergeCell ref="C2:E2"/>
    <mergeCell ref="C3:E3"/>
    <mergeCell ref="A7:E7"/>
    <mergeCell ref="A69:E71"/>
  </mergeCells>
  <phoneticPr fontId="11"/>
  <conditionalFormatting sqref="C5">
    <cfRule type="expression" dxfId="23" priority="4">
      <formula>OR(A1="要編集",A1="未入力",LEFT(A1,5)="ERROR")</formula>
    </cfRule>
    <cfRule type="expression" dxfId="22" priority="5">
      <formula>A1="OK"</formula>
    </cfRule>
    <cfRule type="expression" dxfId="21" priority="6">
      <formula>A1="削除予定"</formula>
    </cfRule>
  </conditionalFormatting>
  <conditionalFormatting sqref="E18:E67">
    <cfRule type="expression" dxfId="20" priority="1">
      <formula>OR(A1="要編集",A1="未入力",LEFT(A1,5)="ERROR")</formula>
    </cfRule>
    <cfRule type="expression" dxfId="19" priority="2">
      <formula>A1="OK"</formula>
    </cfRule>
    <cfRule type="expression" dxfId="18" priority="3">
      <formula>A1="削除予定"</formula>
    </cfRule>
  </conditionalFormatting>
  <dataValidations count="1">
    <dataValidation type="list" sqref="B2 B10:B14" xr:uid="{00000000-0002-0000-0700-000000000000}">
      <formula1>"はい,いいえ"</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7"/>
  <sheetViews>
    <sheetView topLeftCell="A16" workbookViewId="0">
      <selection activeCell="A31" sqref="A31"/>
    </sheetView>
  </sheetViews>
  <sheetFormatPr defaultRowHeight="14"/>
  <cols>
    <col min="1" max="1" width="30" customWidth="1"/>
    <col min="2" max="2" width="88" customWidth="1"/>
    <col min="3" max="3" width="16" customWidth="1"/>
    <col min="4" max="4" width="52" customWidth="1"/>
    <col min="5" max="5" width="2" customWidth="1"/>
  </cols>
  <sheetData>
    <row r="1" spans="1:5" ht="20" customHeight="1">
      <c r="A1" s="8" t="s">
        <v>171</v>
      </c>
      <c r="B1" s="8"/>
      <c r="C1" s="8"/>
      <c r="D1" s="8"/>
      <c r="E1" s="8"/>
    </row>
    <row r="2" spans="1:5" ht="18.649999999999999" customHeight="1">
      <c r="A2" s="3" t="s">
        <v>66</v>
      </c>
      <c r="B2" s="4" t="s">
        <v>67</v>
      </c>
      <c r="C2" s="9" t="s">
        <v>68</v>
      </c>
      <c r="D2" s="9"/>
      <c r="E2" s="9"/>
    </row>
    <row r="3" spans="1:5" ht="18.649999999999999" customHeight="1">
      <c r="A3" s="3" t="s">
        <v>69</v>
      </c>
      <c r="B3" s="4" t="s">
        <v>37</v>
      </c>
      <c r="C3" s="9" t="s">
        <v>70</v>
      </c>
      <c r="D3" s="9"/>
      <c r="E3" s="9"/>
    </row>
    <row r="4" spans="1:5">
      <c r="A4" s="2"/>
      <c r="B4" s="2"/>
      <c r="C4" s="2"/>
      <c r="D4" s="2"/>
      <c r="E4" s="2"/>
    </row>
    <row r="5" spans="1:5">
      <c r="A5" s="3" t="s">
        <v>46</v>
      </c>
      <c r="B5" s="2"/>
      <c r="C5" s="2" t="str">
        <f>IF(B2="いいえ","削除予定",IF(COUNTIF(C10:C13,"要編集")+COUNTIF(C10:C13,"未入力")+COUNTIF(C17:C18,"要編集")+COUNTIF(C17:C18,"未入力")&gt;0,"ERROR: 要編集あり","OK"))</f>
        <v>ERROR: 要編集あり</v>
      </c>
      <c r="D5" s="2"/>
      <c r="E5" s="2"/>
    </row>
    <row r="6" spans="1:5">
      <c r="A6" s="2"/>
      <c r="B6" s="2"/>
      <c r="C6" s="2"/>
      <c r="D6" s="2"/>
      <c r="E6" s="2"/>
    </row>
    <row r="7" spans="1:5" ht="32" customHeight="1">
      <c r="A7" s="10" t="s">
        <v>172</v>
      </c>
      <c r="B7" s="10"/>
      <c r="C7" s="10"/>
      <c r="D7" s="10"/>
      <c r="E7" s="10"/>
    </row>
    <row r="8" spans="1:5">
      <c r="A8" s="2"/>
      <c r="B8" s="2"/>
      <c r="C8" s="2"/>
      <c r="D8" s="2"/>
      <c r="E8" s="2"/>
    </row>
    <row r="9" spans="1:5" ht="20" customHeight="1">
      <c r="A9" s="1" t="s">
        <v>47</v>
      </c>
      <c r="B9" s="1" t="s">
        <v>48</v>
      </c>
      <c r="C9" s="1" t="s">
        <v>49</v>
      </c>
      <c r="D9" s="1" t="s">
        <v>51</v>
      </c>
      <c r="E9" s="2"/>
    </row>
    <row r="10" spans="1:5" ht="28" customHeight="1">
      <c r="A10" s="2" t="s">
        <v>173</v>
      </c>
      <c r="B10" s="4" t="s">
        <v>174</v>
      </c>
      <c r="C10" s="2" t="str">
        <f>IF($B$2="いいえ","削除予定",IF(B10="","未入力",IF(B10="「コミュニケーションデザインラボ - 佐藤研究室」では学生の研究生を募集しています。興味がある方はお気軽にご連絡ください。","要編集","OK")))</f>
        <v>要編集</v>
      </c>
      <c r="D10" s="2" t="s">
        <v>175</v>
      </c>
      <c r="E10" s="2"/>
    </row>
    <row r="11" spans="1:5" ht="28" customHeight="1">
      <c r="A11" s="2" t="s">
        <v>176</v>
      </c>
      <c r="B11" s="4" t="s">
        <v>177</v>
      </c>
      <c r="C11" s="2" t="str">
        <f>IF($B$2="いいえ","削除予定",IF(B11="","未入力",IF(B11="sample@test.co.jp","要編集","OK")))</f>
        <v>要編集</v>
      </c>
      <c r="D11" s="2" t="s">
        <v>178</v>
      </c>
      <c r="E11" s="2"/>
    </row>
    <row r="12" spans="1:5" ht="28" customHeight="1">
      <c r="A12" s="2" t="s">
        <v>179</v>
      </c>
      <c r="B12" s="4" t="s">
        <v>180</v>
      </c>
      <c r="C12" s="2" t="str">
        <f>IF($B$2="いいえ","削除予定",IF(B12="","未入力",IF(B12="〒000-0000","要編集","OK")))</f>
        <v>要編集</v>
      </c>
      <c r="D12" s="2"/>
      <c r="E12" s="2"/>
    </row>
    <row r="13" spans="1:5" ht="28" customHeight="1">
      <c r="A13" s="2" t="s">
        <v>181</v>
      </c>
      <c r="B13" s="4" t="s">
        <v>182</v>
      </c>
      <c r="C13" s="2" t="str">
        <f>IF($B$2="いいえ","削除予定",IF(B13="","未入力",IF(B13="東京都千代田区0-0-0帝都大学千代田キャンパス3号館201号室","要編集","OK")))</f>
        <v>要編集</v>
      </c>
      <c r="D13" s="2"/>
      <c r="E13" s="2"/>
    </row>
    <row r="14" spans="1:5">
      <c r="A14" s="2"/>
      <c r="B14" s="2"/>
      <c r="C14" s="2"/>
      <c r="D14" s="2"/>
      <c r="E14" s="2"/>
    </row>
    <row r="15" spans="1:5">
      <c r="A15" s="2"/>
      <c r="B15" s="2"/>
      <c r="C15" s="2"/>
      <c r="D15" s="2"/>
      <c r="E15" s="2"/>
    </row>
    <row r="16" spans="1:5" ht="20" customHeight="1">
      <c r="A16" s="1" t="s">
        <v>183</v>
      </c>
      <c r="B16" s="1" t="s">
        <v>48</v>
      </c>
      <c r="C16" s="1" t="s">
        <v>49</v>
      </c>
      <c r="D16" s="1" t="s">
        <v>184</v>
      </c>
      <c r="E16" s="2"/>
    </row>
    <row r="17" spans="1:5">
      <c r="A17" s="2" t="s">
        <v>185</v>
      </c>
      <c r="B17" s="4" t="s">
        <v>67</v>
      </c>
      <c r="C17" s="2" t="str">
        <f>IF($B$2="いいえ","削除予定","OK")</f>
        <v>OK</v>
      </c>
      <c r="D17" s="2" t="s">
        <v>186</v>
      </c>
      <c r="E17" s="2"/>
    </row>
    <row r="18" spans="1:5" ht="37.4" customHeight="1">
      <c r="A18" s="2" t="s">
        <v>187</v>
      </c>
      <c r="B18" s="4" t="s">
        <v>188</v>
      </c>
      <c r="C18" s="2" t="str">
        <f>IF(OR($B$2="いいえ",$B$17="いいえ"),"削除予定",IF(B18="","未入力",IF(B18="ここにGoogle Mapの「HTMLをコピー」で取得したiframeを貼り付けてください","要編集","OK")))</f>
        <v>要編集</v>
      </c>
      <c r="D18" s="2" t="s">
        <v>189</v>
      </c>
      <c r="E18" s="2"/>
    </row>
    <row r="19" spans="1:5">
      <c r="A19" s="2"/>
      <c r="B19" s="2"/>
      <c r="C19" s="2"/>
      <c r="D19" s="2"/>
      <c r="E19" s="2"/>
    </row>
    <row r="20" spans="1:5">
      <c r="A20" s="2"/>
      <c r="B20" s="2"/>
      <c r="C20" s="2"/>
      <c r="D20" s="2"/>
      <c r="E20" s="2"/>
    </row>
    <row r="21" spans="1:5">
      <c r="A21" s="11" t="s">
        <v>190</v>
      </c>
      <c r="B21" s="11"/>
      <c r="C21" s="11"/>
      <c r="D21" s="11"/>
      <c r="E21" s="2"/>
    </row>
    <row r="22" spans="1:5" ht="18.649999999999999" customHeight="1">
      <c r="A22" s="6" t="s">
        <v>191</v>
      </c>
      <c r="B22" s="6"/>
      <c r="C22" s="6"/>
      <c r="D22" s="6"/>
      <c r="E22" s="2"/>
    </row>
    <row r="23" spans="1:5" ht="18.649999999999999" customHeight="1">
      <c r="A23" s="6"/>
      <c r="B23" s="6"/>
      <c r="C23" s="6"/>
      <c r="D23" s="6"/>
      <c r="E23" s="2"/>
    </row>
    <row r="24" spans="1:5" ht="18.649999999999999" customHeight="1">
      <c r="A24" s="6"/>
      <c r="B24" s="6"/>
      <c r="C24" s="6"/>
      <c r="D24" s="6"/>
      <c r="E24" s="2"/>
    </row>
    <row r="25" spans="1:5" ht="18.649999999999999" customHeight="1">
      <c r="A25" s="6"/>
      <c r="B25" s="6"/>
      <c r="C25" s="6"/>
      <c r="D25" s="6"/>
      <c r="E25" s="2"/>
    </row>
    <row r="26" spans="1:5">
      <c r="A26" s="2"/>
      <c r="B26" s="2"/>
      <c r="C26" s="2"/>
      <c r="D26" s="2"/>
      <c r="E26" s="2"/>
    </row>
    <row r="27" spans="1:5" ht="20" customHeight="1">
      <c r="A27" s="5" t="s">
        <v>192</v>
      </c>
      <c r="B27" s="7" t="s">
        <v>193</v>
      </c>
      <c r="C27" s="7"/>
      <c r="D27" s="7"/>
      <c r="E27" s="2"/>
    </row>
  </sheetData>
  <mergeCells count="7">
    <mergeCell ref="A22:D25"/>
    <mergeCell ref="B27:D27"/>
    <mergeCell ref="A1:E1"/>
    <mergeCell ref="C2:E2"/>
    <mergeCell ref="C3:E3"/>
    <mergeCell ref="A7:E7"/>
    <mergeCell ref="A21:D21"/>
  </mergeCells>
  <phoneticPr fontId="11"/>
  <conditionalFormatting sqref="C5">
    <cfRule type="expression" dxfId="17" priority="10">
      <formula>OR(A1="要編集",A1="未入力",LEFT(A1,5)="ERROR")</formula>
    </cfRule>
    <cfRule type="expression" dxfId="16" priority="11">
      <formula>A1="OK"</formula>
    </cfRule>
    <cfRule type="expression" dxfId="15" priority="12">
      <formula>A1="削除予定"</formula>
    </cfRule>
  </conditionalFormatting>
  <conditionalFormatting sqref="C10:C13">
    <cfRule type="expression" dxfId="14" priority="1">
      <formula>OR(A1="要編集",A1="未入力",LEFT(A1,5)="ERROR")</formula>
    </cfRule>
    <cfRule type="expression" dxfId="13" priority="2">
      <formula>A1="OK"</formula>
    </cfRule>
    <cfRule type="expression" dxfId="12" priority="3">
      <formula>A1="削除予定"</formula>
    </cfRule>
  </conditionalFormatting>
  <conditionalFormatting sqref="C17">
    <cfRule type="expression" dxfId="11" priority="4">
      <formula>OR(A1="要編集",A1="未入力",LEFT(A1,5)="ERROR")</formula>
    </cfRule>
    <cfRule type="expression" dxfId="10" priority="5">
      <formula>A1="OK"</formula>
    </cfRule>
    <cfRule type="expression" dxfId="9" priority="6">
      <formula>A1="削除予定"</formula>
    </cfRule>
  </conditionalFormatting>
  <conditionalFormatting sqref="C18">
    <cfRule type="expression" dxfId="8" priority="7">
      <formula>OR(A1="要編集",A1="未入力",LEFT(A1,5)="ERROR")</formula>
    </cfRule>
    <cfRule type="expression" dxfId="7" priority="8">
      <formula>A1="OK"</formula>
    </cfRule>
    <cfRule type="expression" dxfId="6" priority="9">
      <formula>A1="削除予定"</formula>
    </cfRule>
  </conditionalFormatting>
  <dataValidations count="1">
    <dataValidation type="list" sqref="B2 B17" xr:uid="{00000000-0002-0000-0800-000000000000}">
      <formula1>"はい,いいえ"</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
  <sheetViews>
    <sheetView workbookViewId="0"/>
  </sheetViews>
  <sheetFormatPr defaultRowHeight="14"/>
  <cols>
    <col min="1" max="1" width="28" customWidth="1"/>
    <col min="2" max="2" width="76" customWidth="1"/>
    <col min="3" max="3" width="16" customWidth="1"/>
    <col min="4" max="4" width="44" customWidth="1"/>
  </cols>
  <sheetData>
    <row r="1" spans="1:4" ht="20" customHeight="1">
      <c r="A1" s="8" t="s">
        <v>194</v>
      </c>
      <c r="B1" s="8"/>
      <c r="C1" s="8"/>
      <c r="D1" s="8"/>
    </row>
    <row r="2" spans="1:4" ht="20" customHeight="1">
      <c r="A2" s="12" t="s">
        <v>195</v>
      </c>
      <c r="B2" s="12"/>
      <c r="C2" s="12"/>
      <c r="D2" s="12"/>
    </row>
    <row r="3" spans="1:4">
      <c r="A3" s="2"/>
      <c r="B3" s="2"/>
      <c r="C3" s="2"/>
      <c r="D3" s="2"/>
    </row>
    <row r="4" spans="1:4">
      <c r="A4" s="3" t="s">
        <v>46</v>
      </c>
      <c r="B4" s="2"/>
      <c r="C4" s="2" t="str">
        <f>IF(OR(C7="要編集",C7="未入力"),"ERROR: 要編集あり","OK")</f>
        <v>ERROR: 要編集あり</v>
      </c>
      <c r="D4" s="2"/>
    </row>
    <row r="5" spans="1:4">
      <c r="A5" s="2"/>
      <c r="B5" s="2"/>
      <c r="C5" s="2"/>
      <c r="D5" s="2"/>
    </row>
    <row r="6" spans="1:4" ht="20" customHeight="1">
      <c r="A6" s="1" t="s">
        <v>47</v>
      </c>
      <c r="B6" s="1" t="s">
        <v>48</v>
      </c>
      <c r="C6" s="1" t="s">
        <v>49</v>
      </c>
      <c r="D6" s="1" t="s">
        <v>51</v>
      </c>
    </row>
    <row r="7" spans="1:4" ht="24" customHeight="1">
      <c r="A7" s="2" t="s">
        <v>42</v>
      </c>
      <c r="B7" s="4" t="s">
        <v>196</v>
      </c>
      <c r="C7" s="2" t="str">
        <f>IF(B7="","未入力",IF(B7="Copyright (C) 研究室名. All Rights Reserved.","要編集","OK"))</f>
        <v>要編集</v>
      </c>
      <c r="D7" s="2" t="s">
        <v>197</v>
      </c>
    </row>
  </sheetData>
  <mergeCells count="2">
    <mergeCell ref="A1:D1"/>
    <mergeCell ref="A2:D2"/>
  </mergeCells>
  <phoneticPr fontId="11"/>
  <conditionalFormatting sqref="C4">
    <cfRule type="expression" dxfId="5" priority="4">
      <formula>OR(A1="要編集",A1="未入力",LEFT(A1,5)="ERROR")</formula>
    </cfRule>
    <cfRule type="expression" dxfId="4" priority="5">
      <formula>A1="OK"</formula>
    </cfRule>
    <cfRule type="expression" dxfId="3" priority="6">
      <formula>A1="削除予定"</formula>
    </cfRule>
  </conditionalFormatting>
  <conditionalFormatting sqref="C7">
    <cfRule type="expression" dxfId="2" priority="1">
      <formula>OR(A1="要編集",A1="未入力",LEFT(A1,5)="ERROR")</formula>
    </cfRule>
    <cfRule type="expression" dxfId="1" priority="2">
      <formula>A1="OK"</formula>
    </cfRule>
    <cfRule type="expression" dxfId="0" priority="3">
      <formula>A1="削除予定"</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00_チェック</vt:lpstr>
      <vt:lpstr>01_基本情報</vt:lpstr>
      <vt:lpstr>02_NEWS</vt:lpstr>
      <vt:lpstr>03_研究テーマ</vt:lpstr>
      <vt:lpstr>04_研究室のモットー</vt:lpstr>
      <vt:lpstr>05_研究室メンバー</vt:lpstr>
      <vt:lpstr>06_プロフィール</vt:lpstr>
      <vt:lpstr>07_論文・研究発表</vt:lpstr>
      <vt:lpstr>08_Contact</vt:lpstr>
      <vt:lpstr>09_フッター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Hiroshi Togo</cp:lastModifiedBy>
  <dcterms:modified xsi:type="dcterms:W3CDTF">2026-08-07T07:55:04Z</dcterms:modified>
</cp:coreProperties>
</file>